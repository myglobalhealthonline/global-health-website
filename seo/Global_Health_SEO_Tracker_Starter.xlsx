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d69b764c9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827185591304e0d"/>
    <x:sheet xmlns:r="http://schemas.openxmlformats.org/officeDocument/2006/relationships" name="01_Dashboard" sheetId="2" r:id="R485bbb3377f348d0"/>
    <x:sheet xmlns:r="http://schemas.openxmlformats.org/officeDocument/2006/relationships" name="02_Markets_Locales" sheetId="3" r:id="R24bcda415472454f"/>
    <x:sheet xmlns:r="http://schemas.openxmlformats.org/officeDocument/2006/relationships" name="03_Data_Access" sheetId="4" r:id="R6b07e0bcd0574b4f"/>
    <x:sheet xmlns:r="http://schemas.openxmlformats.org/officeDocument/2006/relationships" name="04_Page_Inventory" sheetId="5" r:id="R267dced1288146e1"/>
    <x:sheet xmlns:r="http://schemas.openxmlformats.org/officeDocument/2006/relationships" name="05_Technical_QA" sheetId="6" r:id="R8485d56650e34659"/>
    <x:sheet xmlns:r="http://schemas.openxmlformats.org/officeDocument/2006/relationships" name="06_Locale_Data_QA" sheetId="7" r:id="R7a7b3411417a4ecb"/>
    <x:sheet xmlns:r="http://schemas.openxmlformats.org/officeDocument/2006/relationships" name="07_Hreflang" sheetId="8" r:id="R725f2c6d17c84c7a"/>
    <x:sheet xmlns:r="http://schemas.openxmlformats.org/officeDocument/2006/relationships" name="08_Crawl_History" sheetId="9" r:id="Ra552d90978a14b58"/>
    <x:sheet xmlns:r="http://schemas.openxmlformats.org/officeDocument/2006/relationships" name="09_GSC_Page_Daily" sheetId="10" r:id="R3a72d7af45404f8e"/>
    <x:sheet xmlns:r="http://schemas.openxmlformats.org/officeDocument/2006/relationships" name="10_GSC_Query_Daily" sheetId="11" r:id="R6b3a45385b3f4dd9"/>
    <x:sheet xmlns:r="http://schemas.openxmlformats.org/officeDocument/2006/relationships" name="11_GA4_Landing_Daily" sheetId="12" r:id="R90215669e2234676"/>
    <x:sheet xmlns:r="http://schemas.openxmlformats.org/officeDocument/2006/relationships" name="12_Monthly_Summary" sheetId="13" r:id="R4212c317560d42ca"/>
    <x:sheet xmlns:r="http://schemas.openxmlformats.org/officeDocument/2006/relationships" name="13_Keyword_Map" sheetId="14" r:id="R3300be47a7fa4b82"/>
    <x:sheet xmlns:r="http://schemas.openxmlformats.org/officeDocument/2006/relationships" name="14_Competitors" sheetId="15" r:id="R824c63f5709b438a"/>
    <x:sheet xmlns:r="http://schemas.openxmlformats.org/officeDocument/2006/relationships" name="15_Backlinks" sheetId="16" r:id="R392d22a11cc046fc"/>
    <x:sheet xmlns:r="http://schemas.openxmlformats.org/officeDocument/2006/relationships" name="16_Content_Review" sheetId="17" r:id="R73b20bfac07f4943"/>
    <x:sheet xmlns:r="http://schemas.openxmlformats.org/officeDocument/2006/relationships" name="17_pSEO_Plan" sheetId="18" r:id="Rb04595e4f8ad4ac6"/>
    <x:sheet xmlns:r="http://schemas.openxmlformats.org/officeDocument/2006/relationships" name="18_Migration" sheetId="19" r:id="Rda079337496741ba"/>
    <x:sheet xmlns:r="http://schemas.openxmlformats.org/officeDocument/2006/relationships" name="19_Issues" sheetId="20" r:id="Re0fb225b408f4ca5"/>
    <x:sheet xmlns:r="http://schemas.openxmlformats.org/officeDocument/2006/relationships" name="20_Change_Log" sheetId="21" r:id="R47812c65b1264c4a"/>
    <x:sheet xmlns:r="http://schemas.openxmlformats.org/officeDocument/2006/relationships" name="21_Historical_Baselines" sheetId="22" r:id="Re55d1f398a894a25"/>
    <x:sheet xmlns:r="http://schemas.openxmlformats.org/officeDocument/2006/relationships" name="22_Refresh_Log" sheetId="23" r:id="R15018d6f987c4914"/>
    <x:sheet xmlns:r="http://schemas.openxmlformats.org/officeDocument/2006/relationships" name="24_Sources" sheetId="24" r:id="R7b15200d7b6d4ed3"/>
    <x:sheet xmlns:r="http://schemas.openxmlformats.org/officeDocument/2006/relationships" name="23_Data_Dictionary" sheetId="25" r:id="R4be6411ce78c49a7"/>
    <x:sheet xmlns:r="http://schemas.openxmlformats.org/officeDocument/2006/relationships" name="25_Config" sheetId="26" r:id="R584ecedf8be04e58"/>
    <x:sheet xmlns:r="http://schemas.openxmlformats.org/officeDocument/2006/relationships" name="26_GSC_Property_Daily" sheetId="27" r:id="R3ce9fb17c215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"/>
    <x:numFmt numFmtId="203" formatCode="0.0%"/>
    <x:numFmt numFmtId="204" formatCode="#,##0.00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627589"/>
      <x:name val="Carlito"/>
    </x:font>
    <x:font>
      <x:b/>
      <x:sz val="10"/>
      <x:color rgb="FFFFFFFF"/>
      <x:name val="Carlito"/>
    </x:font>
    <x:font>
      <x:sz val="10"/>
      <x:color rgb="FF243547"/>
      <x:name val="Carlito"/>
    </x:font>
    <x:font>
      <x:b/>
      <x:sz val="10"/>
      <x:color rgb="FF157A7E"/>
      <x:name val="Carlito"/>
    </x:font>
    <x:font>
      <x:sz val="11"/>
      <x:color rgb="FF243547"/>
      <x:name val="Carlito"/>
    </x:font>
    <x:font>
      <x:b/>
      <x:sz val="23"/>
      <x:color rgb="FFFFFFFF"/>
      <x:name val="Carlito"/>
    </x:font>
    <x:font>
      <x:sz val="11"/>
      <x:color rgb="FF627589"/>
      <x:name val="Carlito"/>
    </x:font>
    <x:font>
      <x:b/>
      <x:sz val="9"/>
      <x:color rgb="FF157A7E"/>
      <x:name val="Carlito"/>
    </x:font>
    <x:font>
      <x:b/>
      <x:sz val="28"/>
      <x:color rgb="FF17283B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83B"/>
      </x:patternFill>
    </x:fill>
    <x:fill>
      <x:patternFill patternType="solid">
        <x:fgColor rgb="FF157A7E"/>
      </x:patternFill>
    </x:fill>
    <x:fill>
      <x:patternFill patternType="solid">
        <x:fgColor rgb="FFEAF3F2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9" fillId="4" borderId="0" xfId="0" applyNumberFormat="1" applyFont="1" applyFill="1" applyBorder="1"/>
    <x:xf numFmtId="0" fontId="6" fillId="4" borderId="1" xfId="0" applyNumberFormat="1" applyFont="1" applyFill="1" applyBorder="1"/>
    <x:xf numFmtId="0" fontId="9" fillId="4" borderId="1" xfId="0" applyNumberFormat="1" applyFont="1" applyFill="1" applyBorder="1"/>
    <x:xf numFmtId="0" fontId="10" fillId="4" borderId="0" xfId="0" applyNumberFormat="1" applyFont="1" applyFill="1" applyBorder="1"/>
    <x:xf numFmtId="201" fontId="10" fillId="4" borderId="0" xfId="0" applyNumberFormat="1" applyFont="1" applyFill="1" applyBorder="1"/>
    <x:xf numFmtId="0" fontId="10" fillId="4" borderId="1" xfId="0" applyNumberFormat="1" applyFont="1" applyFill="1" applyBorder="1"/>
    <x:xf numFmtId="201" fontId="10" fillId="4" borderId="1" xfId="0" applyNumberFormat="1" applyFont="1" applyFill="1" applyBorder="1"/>
    <x:xf numFmtId="0" fontId="6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201" fontId="10" fillId="4" borderId="0" xfId="0" applyNumberFormat="1" applyFont="1" applyFill="1" applyBorder="1" applyAlignment="1">
      <x:alignment horizontal="left"/>
    </x:xf>
    <x:xf numFmtId="201" fontId="10" fillId="4" borderId="1" xfId="0" applyNumberFormat="1" applyFont="1" applyFill="1" applyBorder="1" applyAlignment="1">
      <x:alignment horizontal="left"/>
    </x:xf>
    <x:xf numFmtId="201" fontId="10" fillId="4" borderId="0" xfId="0" applyNumberFormat="1" applyFont="1" applyFill="1" applyBorder="1" applyAlignment="1">
      <x:alignment horizontal="left" vertical="center"/>
    </x:xf>
    <x:xf numFmtId="201" fontId="10" fillId="4" borderId="1" xfId="0" applyNumberFormat="1" applyFont="1" applyFill="1" applyBorder="1" applyAlignment="1">
      <x:alignment horizontal="left"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BE7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BE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134e524c24542" /><Relationship Type="http://schemas.openxmlformats.org/officeDocument/2006/relationships/theme" Target="/xl/theme/theme1.xml" Id="R07f62e8086174538" /><Relationship Type="http://schemas.openxmlformats.org/officeDocument/2006/relationships/sharedStrings" Target="/xl/sharedStrings.xml" Id="Rb872492718e14079" /><Relationship Type="http://schemas.openxmlformats.org/officeDocument/2006/relationships/worksheet" Target="/xl/worksheets/sheet1.xml" Id="R4827185591304e0d" /><Relationship Type="http://schemas.openxmlformats.org/officeDocument/2006/relationships/worksheet" Target="/xl/worksheets/sheet2.xml" Id="R485bbb3377f348d0" /><Relationship Type="http://schemas.openxmlformats.org/officeDocument/2006/relationships/worksheet" Target="/xl/worksheets/sheet3.xml" Id="R24bcda415472454f" /><Relationship Type="http://schemas.openxmlformats.org/officeDocument/2006/relationships/worksheet" Target="/xl/worksheets/sheet4.xml" Id="R6b07e0bcd0574b4f" /><Relationship Type="http://schemas.openxmlformats.org/officeDocument/2006/relationships/worksheet" Target="/xl/worksheets/sheet5.xml" Id="R267dced1288146e1" /><Relationship Type="http://schemas.openxmlformats.org/officeDocument/2006/relationships/worksheet" Target="/xl/worksheets/sheet6.xml" Id="R8485d56650e34659" /><Relationship Type="http://schemas.openxmlformats.org/officeDocument/2006/relationships/worksheet" Target="/xl/worksheets/sheet7.xml" Id="R7a7b3411417a4ecb" /><Relationship Type="http://schemas.openxmlformats.org/officeDocument/2006/relationships/worksheet" Target="/xl/worksheets/sheet8.xml" Id="R725f2c6d17c84c7a" /><Relationship Type="http://schemas.openxmlformats.org/officeDocument/2006/relationships/worksheet" Target="/xl/worksheets/sheet9.xml" Id="Ra552d90978a14b58" /><Relationship Type="http://schemas.openxmlformats.org/officeDocument/2006/relationships/worksheet" Target="/xl/worksheets/sheet10.xml" Id="R3a72d7af45404f8e" /><Relationship Type="http://schemas.openxmlformats.org/officeDocument/2006/relationships/worksheet" Target="/xl/worksheets/sheet11.xml" Id="R6b3a45385b3f4dd9" /><Relationship Type="http://schemas.openxmlformats.org/officeDocument/2006/relationships/worksheet" Target="/xl/worksheets/sheet12.xml" Id="R90215669e2234676" /><Relationship Type="http://schemas.openxmlformats.org/officeDocument/2006/relationships/worksheet" Target="/xl/worksheets/sheet13.xml" Id="R4212c317560d42ca" /><Relationship Type="http://schemas.openxmlformats.org/officeDocument/2006/relationships/worksheet" Target="/xl/worksheets/sheet14.xml" Id="R3300be47a7fa4b82" /><Relationship Type="http://schemas.openxmlformats.org/officeDocument/2006/relationships/worksheet" Target="/xl/worksheets/sheet15.xml" Id="R824c63f5709b438a" /><Relationship Type="http://schemas.openxmlformats.org/officeDocument/2006/relationships/worksheet" Target="/xl/worksheets/sheet16.xml" Id="R392d22a11cc046fc" /><Relationship Type="http://schemas.openxmlformats.org/officeDocument/2006/relationships/worksheet" Target="/xl/worksheets/sheet17.xml" Id="R73b20bfac07f4943" /><Relationship Type="http://schemas.openxmlformats.org/officeDocument/2006/relationships/worksheet" Target="/xl/worksheets/sheet18.xml" Id="Rb04595e4f8ad4ac6" /><Relationship Type="http://schemas.openxmlformats.org/officeDocument/2006/relationships/worksheet" Target="/xl/worksheets/sheet19.xml" Id="Rda079337496741ba" /><Relationship Type="http://schemas.openxmlformats.org/officeDocument/2006/relationships/worksheet" Target="/xl/worksheets/sheet20.xml" Id="Re0fb225b408f4ca5" /><Relationship Type="http://schemas.openxmlformats.org/officeDocument/2006/relationships/worksheet" Target="/xl/worksheets/sheet21.xml" Id="R47812c65b1264c4a" /><Relationship Type="http://schemas.openxmlformats.org/officeDocument/2006/relationships/worksheet" Target="/xl/worksheets/sheet22.xml" Id="Re55d1f398a894a25" /><Relationship Type="http://schemas.openxmlformats.org/officeDocument/2006/relationships/worksheet" Target="/xl/worksheets/sheet23.xml" Id="R15018d6f987c4914" /><Relationship Type="http://schemas.openxmlformats.org/officeDocument/2006/relationships/worksheet" Target="/xl/worksheets/sheet24.xml" Id="R7b15200d7b6d4ed3" /><Relationship Type="http://schemas.openxmlformats.org/officeDocument/2006/relationships/worksheet" Target="/xl/worksheets/sheet25.xml" Id="R4be6411ce78c49a7" /><Relationship Type="http://schemas.openxmlformats.org/officeDocument/2006/relationships/worksheet" Target="/xl/worksheets/sheet26.xml" Id="R584ecedf8be04e58" /><Relationship Type="http://schemas.openxmlformats.org/officeDocument/2006/relationships/worksheet" Target="/xl/worksheets/sheet27.xml" Id="R3ce9fb17c21547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91c0a7dfd249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Configured languages by market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Configured locales</c:v>
          </c:tx>
          <c:cat>
            <c:strRef>
              <c:f>'01_Dashboard'!$A$19:$A$24</c:f>
              <c:strCache>
                <c:ptCount val="0"/>
              </c:strCache>
            </c:strRef>
          </c:cat>
          <c:val>
            <c:numRef>
              <c:f>'01_Dashboard'!$B$19:$B$24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17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91c0a7dfd2491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5" name="T00README" displayName="T00README" ref="A5:B30" headerRowCount="1" totalsRowCount="0" totalsRowShown="0">
  <x:tableColumns count="2">
    <x:tableColumn id="1" name="topic"/>
    <x:tableColumn id="2" name="instruc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02MarketsLocales" displayName="T02MarketsLocales" ref="A5:L38" headerRowCount="1" totalsRowCount="0" totalsRowShown="0">
  <x:tableColumns count="12">
    <x:tableColumn id="1" name="market_locale_key"/>
    <x:tableColumn id="2" name="target_country"/>
    <x:tableColumn id="3" name="country_code"/>
    <x:tableColumn id="4" name="country_slug"/>
    <x:tableColumn id="5" name="language"/>
    <x:tableColumn id="6" name="hreflang_tag"/>
    <x:tableColumn id="7" name="default_language"/>
    <x:tableColumn id="8" name="is_default"/>
    <x:tableColumn id="9" name="configured_home_path"/>
    <x:tableColumn id="10" name="booking_timezone"/>
    <x:tableColumn id="11" name="verification_state"/>
    <x:tableColumn id="12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03DataAccess" displayName="T03DataAccess" ref="A5:H14" headerRowCount="1" totalsRowCount="0" totalsRowShown="0">
  <x:tableColumns count="8">
    <x:tableColumn id="1" name="source"/>
    <x:tableColumn id="2" name="property_or_scope"/>
    <x:tableColumn id="3" name="current_session_status"/>
    <x:tableColumn id="4" name="last_documented_check"/>
    <x:tableColumn id="5" name="required_read_check"/>
    <x:tableColumn id="6" name="data_limit_or_risk"/>
    <x:tableColumn id="7" name="next_action"/>
    <x:tableColumn id="8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04PageInventory" displayName="T04PageInventory" ref="A5:S11" headerRowCount="1" totalsRowCount="0" totalsRowShown="0">
  <x:tableColumns count="19">
    <x:tableColumn id="1" name="url_id"/>
    <x:tableColumn id="2" name="content_entity_id"/>
    <x:tableColumn id="3" name="documented_url"/>
    <x:tableColumn id="4" name="verified_canonical_url"/>
    <x:tableColumn id="5" name="target_country"/>
    <x:tableColumn id="6" name="language"/>
    <x:tableColumn id="7" name="locale_tag"/>
    <x:tableColumn id="8" name="page_type"/>
    <x:tableColumn id="9" name="discovery_source"/>
    <x:tableColumn id="10" name="inventory_state"/>
    <x:tableColumn id="11" name="audit_state"/>
    <x:tableColumn id="12" name="first_published"/>
    <x:tableColumn id="13" name="source_file_or_model"/>
    <x:tableColumn id="14" name="expected_indexability"/>
    <x:tableColumn id="15" name="actual_indexability"/>
    <x:tableColumn id="16" name="primary_keyword"/>
    <x:tableColumn id="17" name="owner"/>
    <x:tableColumn id="18" name="last_checked"/>
    <x:tableColumn id="19" name="eviden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05TechnicalQA" displayName="T05TechnicalQA" ref="A5:I72" headerRowCount="1" totalsRowCount="0" totalsRowShown="0">
  <x:tableColumns count="9">
    <x:tableColumn id="1" name="check_id"/>
    <x:tableColumn id="2" name="area"/>
    <x:tableColumn id="3" name="check"/>
    <x:tableColumn id="4" name="scope"/>
    <x:tableColumn id="5" name="status"/>
    <x:tableColumn id="6" name="tested_count"/>
    <x:tableColumn id="7" name="affected_count"/>
    <x:tableColumn id="8" name="evidence"/>
    <x:tableColumn id="9" name="own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06LocaleDataQA" displayName="T06LocaleDataQA" ref="A5:M38" headerRowCount="1" totalsRowCount="0" totalsRowShown="0">
  <x:tableColumns count="13">
    <x:tableColumn id="1" name="market_locale_key"/>
    <x:tableColumn id="2" name="target_country"/>
    <x:tableColumn id="3" name="language"/>
    <x:tableColumn id="4" name="configured_path"/>
    <x:tableColumn id="5" name="runtime_enabled"/>
    <x:tableColumn id="6" name="data_filter_check"/>
    <x:tableColumn id="7" name="cache_isolation"/>
    <x:tableColumn id="8" name="fallback_language"/>
    <x:tableColumn id="9" name="price_currency"/>
    <x:tableColumn id="10" name="booking_context"/>
    <x:tableColumn id="11" name="clinical_availability"/>
    <x:tableColumn id="12" name="evidence"/>
    <x:tableColumn id="13" name="checked_a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07Hreflang" displayName="T07Hreflang" ref="A5:O6" headerRowCount="1" totalsRowCount="0" totalsRowShown="0">
  <x:tableColumns count="15">
    <x:tableColumn id="1" name="checked_at"/>
    <x:tableColumn id="2" name="cluster_id"/>
    <x:tableColumn id="3" name="source_url_id"/>
    <x:tableColumn id="4" name="source_url"/>
    <x:tableColumn id="5" name="declared_tag"/>
    <x:tableColumn id="6" name="alternate_url"/>
    <x:tableColumn id="7" name="alternate_status"/>
    <x:tableColumn id="8" name="alternate_canonical"/>
    <x:tableColumn id="9" name="alternate_indexability"/>
    <x:tableColumn id="10" name="equivalent_content"/>
    <x:tableColumn id="11" name="reciprocal"/>
    <x:tableColumn id="12" name="is_self_reference"/>
    <x:tableColumn id="13" name="x_default_valid"/>
    <x:tableColumn id="14" name="verdict"/>
    <x:tableColumn id="15" name="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08CrawlHistory" displayName="T08CrawlHistory" ref="A5:R6" headerRowCount="1" totalsRowCount="0" totalsRowShown="0">
  <x:tableColumns count="18">
    <x:tableColumn id="1" name="checked_at"/>
    <x:tableColumn id="2" name="url_id"/>
    <x:tableColumn id="3" name="requested_url"/>
    <x:tableColumn id="4" name="final_url"/>
    <x:tableColumn id="5" name="http_status"/>
    <x:tableColumn id="6" name="redirect_hops"/>
    <x:tableColumn id="7" name="title"/>
    <x:tableColumn id="8" name="meta_description"/>
    <x:tableColumn id="9" name="h1"/>
    <x:tableColumn id="10" name="html_lang"/>
    <x:tableColumn id="11" name="canonical"/>
    <x:tableColumn id="12" name="meta_robots"/>
    <x:tableColumn id="13" name="x_robots_tag"/>
    <x:tableColumn id="14" name="in_sitemap"/>
    <x:tableColumn id="15" name="indexability"/>
    <x:tableColumn id="16" name="rendering_check"/>
    <x:tableColumn id="17" name="source_revision"/>
    <x:tableColumn id="18" name="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09GSCPageDaily" displayName="T09GSCPageDaily" ref="A5:R6" headerRowCount="1" totalsRowCount="0" totalsRowShown="0">
  <x:tableColumns count="18">
    <x:tableColumn id="1" name="date"/>
    <x:tableColumn id="2" name="url_id"/>
    <x:tableColumn id="3" name="normalized_url"/>
    <x:tableColumn id="4" name="target_country"/>
    <x:tableColumn id="5" name="language"/>
    <x:tableColumn id="6" name="searcher_country"/>
    <x:tableColumn id="7" name="device"/>
    <x:tableColumn id="8" name="search_type"/>
    <x:tableColumn id="9" name="clicks"/>
    <x:tableColumn id="10" name="impressions"/>
    <x:tableColumn id="11" name="avg_position"/>
    <x:tableColumn id="12" name="ctr"/>
    <x:tableColumn id="13" name="row_key"/>
    <x:tableColumn id="14" name="refresh_id"/>
    <x:tableColumn id="15" name="data_state"/>
    <x:tableColumn id="16" name="source_timezone"/>
    <x:tableColumn id="17" name="data_quality"/>
    <x:tableColumn id="18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10GSCQueryDaily" displayName="T10GSCQueryDaily" ref="A5:S6" headerRowCount="1" totalsRowCount="0" totalsRowShown="0">
  <x:tableColumns count="19">
    <x:tableColumn id="1" name="date"/>
    <x:tableColumn id="2" name="query"/>
    <x:tableColumn id="3" name="url_id"/>
    <x:tableColumn id="4" name="normalized_url"/>
    <x:tableColumn id="5" name="target_country"/>
    <x:tableColumn id="6" name="language"/>
    <x:tableColumn id="7" name="searcher_country"/>
    <x:tableColumn id="8" name="device"/>
    <x:tableColumn id="9" name="search_type"/>
    <x:tableColumn id="10" name="clicks"/>
    <x:tableColumn id="11" name="impressions"/>
    <x:tableColumn id="12" name="avg_position"/>
    <x:tableColumn id="13" name="ctr"/>
    <x:tableColumn id="14" name="brand_class"/>
    <x:tableColumn id="15" name="taxonomy_version"/>
    <x:tableColumn id="16" name="row_key"/>
    <x:tableColumn id="17" name="refresh_id"/>
    <x:tableColumn id="18" name="data_quality"/>
    <x:tableColumn id="19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11GA4LandingDaily" displayName="T11GA4LandingDaily" ref="A5:W6" headerRowCount="1" totalsRowCount="0" totalsRowShown="0">
  <x:tableColumns count="23">
    <x:tableColumn id="1" name="date"/>
    <x:tableColumn id="2" name="url_id"/>
    <x:tableColumn id="3" name="normalized_landing_url"/>
    <x:tableColumn id="4" name="target_country"/>
    <x:tableColumn id="5" name="language"/>
    <x:tableColumn id="6" name="visitor_country"/>
    <x:tableColumn id="7" name="device"/>
    <x:tableColumn id="8" name="session_source_medium"/>
    <x:tableColumn id="9" name="session_channel"/>
    <x:tableColumn id="10" name="sessions"/>
    <x:tableColumn id="11" name="engaged_sessions"/>
    <x:tableColumn id="12" name="key_events"/>
    <x:tableColumn id="13" name="booking_starts"/>
    <x:tableColumn id="14" name="purchases"/>
    <x:tableColumn id="15" name="purchase_revenue"/>
    <x:tableColumn id="16" name="currency"/>
    <x:tableColumn id="17" name="total_users"/>
    <x:tableColumn id="18" name="session_key_event_rate"/>
    <x:tableColumn id="19" name="engagement_rate"/>
    <x:tableColumn id="20" name="row_key"/>
    <x:tableColumn id="21" name="refresh_id"/>
    <x:tableColumn id="22" name="data_quality"/>
    <x:tableColumn id="23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12MonthlySummary" displayName="T12MonthlySummary" ref="A5:S104" headerRowCount="1" totalsRowCount="0" totalsRowShown="0">
  <x:tableColumns count="19">
    <x:tableColumn id="1" name="month_start"/>
    <x:tableColumn id="2" name="target_country"/>
    <x:tableColumn id="3" name="language"/>
    <x:tableColumn id="4" name="gsc_rows"/>
    <x:tableColumn id="5" name="clicks"/>
    <x:tableColumn id="6" name="impressions"/>
    <x:tableColumn id="7" name="ctr"/>
    <x:tableColumn id="8" name="weighted_position"/>
    <x:tableColumn id="9" name="ga4_rows"/>
    <x:tableColumn id="10" name="organic_sessions"/>
    <x:tableColumn id="11" name="engaged_sessions"/>
    <x:tableColumn id="12" name="engagement_rate"/>
    <x:tableColumn id="13" name="key_events"/>
    <x:tableColumn id="14" name="booking_starts"/>
    <x:tableColumn id="15" name="purchases"/>
    <x:tableColumn id="16" name="revenue"/>
    <x:tableColumn id="17" name="currency"/>
    <x:tableColumn id="18" name="reported_session_key_event_rate"/>
    <x:tableColumn id="19" name="quality_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13KeywordMap" displayName="T13KeywordMap" ref="A5:R6" headerRowCount="1" totalsRowCount="0" totalsRowShown="0">
  <x:tableColumns count="18">
    <x:tableColumn id="1" name="keyword_id"/>
    <x:tableColumn id="2" name="target_country"/>
    <x:tableColumn id="3" name="language"/>
    <x:tableColumn id="4" name="query"/>
    <x:tableColumn id="5" name="intent"/>
    <x:tableColumn id="6" name="brand_class"/>
    <x:tableColumn id="7" name="cluster"/>
    <x:tableColumn id="8" name="owner_url_id"/>
    <x:tableColumn id="9" name="owner_url"/>
    <x:tableColumn id="10" name="volume_estimate"/>
    <x:tableColumn id="11" name="difficulty_estimate"/>
    <x:tableColumn id="12" name="current_rank"/>
    <x:tableColumn id="13" name="serp_device"/>
    <x:tableColumn id="14" name="serp_location"/>
    <x:tableColumn id="15" name="provider"/>
    <x:tableColumn id="16" name="observed_at"/>
    <x:tableColumn id="17" name="opportunity"/>
    <x:tableColumn id="18" name="evid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14Competitors" displayName="T14Competitors" ref="A5:O6" headerRowCount="1" totalsRowCount="0" totalsRowShown="0">
  <x:tableColumns count="15">
    <x:tableColumn id="1" name="observed_at"/>
    <x:tableColumn id="2" name="target_country"/>
    <x:tableColumn id="3" name="language"/>
    <x:tableColumn id="4" name="query_cluster"/>
    <x:tableColumn id="5" name="competitor_domain"/>
    <x:tableColumn id="6" name="ranking_url"/>
    <x:tableColumn id="7" name="serp_position"/>
    <x:tableColumn id="8" name="intent"/>
    <x:tableColumn id="9" name="content_gap"/>
    <x:tableColumn id="10" name="trust_gap"/>
    <x:tableColumn id="11" name="local_gap"/>
    <x:tableColumn id="12" name="provider"/>
    <x:tableColumn id="13" name="device"/>
    <x:tableColumn id="14" name="location"/>
    <x:tableColumn id="15" name="eviden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15Backlinks" displayName="T15Backlinks" ref="A5:Q6" headerRowCount="1" totalsRowCount="0" totalsRowShown="0">
  <x:tableColumns count="17">
    <x:tableColumn id="1" name="observed_at"/>
    <x:tableColumn id="2" name="target_country"/>
    <x:tableColumn id="3" name="source_domain"/>
    <x:tableColumn id="4" name="source_url"/>
    <x:tableColumn id="5" name="target_url_id"/>
    <x:tableColumn id="6" name="target_url"/>
    <x:tableColumn id="7" name="anchor"/>
    <x:tableColumn id="8" name="rel_attribute"/>
    <x:tableColumn id="9" name="link_status"/>
    <x:tableColumn id="10" name="first_seen"/>
    <x:tableColumn id="11" name="last_seen"/>
    <x:tableColumn id="12" name="relevance"/>
    <x:tableColumn id="13" name="provider_metric_name"/>
    <x:tableColumn id="14" name="provider_metric_value"/>
    <x:tableColumn id="15" name="opportunity"/>
    <x:tableColumn id="16" name="owner"/>
    <x:tableColumn id="17" name="eviden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T16ContentReview" displayName="T16ContentReview" ref="A5:O6" headerRowCount="1" totalsRowCount="0" totalsRowShown="0">
  <x:tableColumns count="15">
    <x:tableColumn id="1" name="review_id"/>
    <x:tableColumn id="2" name="url_id"/>
    <x:tableColumn id="3" name="target_country"/>
    <x:tableColumn id="4" name="language"/>
    <x:tableColumn id="5" name="entity_source"/>
    <x:tableColumn id="6" name="issue"/>
    <x:tableColumn id="7" name="current_excerpt"/>
    <x:tableColumn id="8" name="recommended_action"/>
    <x:tableColumn id="9" name="factual_source"/>
    <x:tableColumn id="10" name="clinical_review_status"/>
    <x:tableColumn id="11" name="native_editor_status"/>
    <x:tableColumn id="12" name="copy_approval_status"/>
    <x:tableColumn id="13" name="approved_copy_hash"/>
    <x:tableColumn id="14" name="owner"/>
    <x:tableColumn id="15" name="evidenc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T17pSEOPlan" displayName="T17pSEOPlan" ref="A5:N8" headerRowCount="1" totalsRowCount="0" totalsRowShown="0">
  <x:tableColumns count="14">
    <x:tableColumn id="1" name="candidate_id"/>
    <x:tableColumn id="2" name="target_market"/>
    <x:tableColumn id="3" name="locale_scope"/>
    <x:tableColumn id="4" name="proposed_page_family"/>
    <x:tableColumn id="5" name="existing_inventory_check"/>
    <x:tableColumn id="6" name="validated_demand"/>
    <x:tableColumn id="7" name="unique_data_available"/>
    <x:tableColumn id="8" name="local_usefulness"/>
    <x:tableColumn id="9" name="clinical_gate"/>
    <x:tableColumn id="10" name="duplicate_risk"/>
    <x:tableColumn id="11" name="launch_decision"/>
    <x:tableColumn id="12" name="success_metric"/>
    <x:tableColumn id="13" name="owner"/>
    <x:tableColumn id="14" name="evidenc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T18Migration" displayName="T18Migration" ref="A5:N11" headerRowCount="1" totalsRowCount="0" totalsRowShown="0">
  <x:tableColumns count="14">
    <x:tableColumn id="1" name="legacy_url"/>
    <x:tableColumn id="2" name="proposed_or_documented_target"/>
    <x:tableColumn id="3" name="target_country"/>
    <x:tableColumn id="4" name="language"/>
    <x:tableColumn id="5" name="mapping_source"/>
    <x:tableColumn id="6" name="historical_clicks"/>
    <x:tableColumn id="7" name="referring_domains"/>
    <x:tableColumn id="8" name="observed_status"/>
    <x:tableColumn id="9" name="redirect_hops"/>
    <x:tableColumn id="10" name="final_url"/>
    <x:tableColumn id="11" name="content_equivalence"/>
    <x:tableColumn id="12" name="approved_retirement"/>
    <x:tableColumn id="13" name="test_status"/>
    <x:tableColumn id="14" name="evidenc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T19Issues" displayName="T19Issues" ref="A5:T9" headerRowCount="1" totalsRowCount="0" totalsRowShown="0">
  <x:tableColumns count="20">
    <x:tableColumn id="1" name="issue_id"/>
    <x:tableColumn id="2" name="ledger_reference"/>
    <x:tableColumn id="3" name="category"/>
    <x:tableColumn id="4" name="target_country"/>
    <x:tableColumn id="5" name="language"/>
    <x:tableColumn id="6" name="url_id"/>
    <x:tableColumn id="7" name="finding"/>
    <x:tableColumn id="8" name="evidence_date"/>
    <x:tableColumn id="9" name="evidence_type"/>
    <x:tableColumn id="10" name="priority"/>
    <x:tableColumn id="11" name="impact_1_5"/>
    <x:tableColumn id="12" name="confidence_0_1"/>
    <x:tableColumn id="13" name="effort_1_5"/>
    <x:tableColumn id="14" name="priority_score"/>
    <x:tableColumn id="15" name="status"/>
    <x:tableColumn id="16" name="owner"/>
    <x:tableColumn id="17" name="next_action"/>
    <x:tableColumn id="18" name="acceptance_test"/>
    <x:tableColumn id="19" name="due_date"/>
    <x:tableColumn id="20" name="evidence_url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T20ChangeLog" displayName="T20ChangeLog" ref="A5:M7" headerRowCount="1" totalsRowCount="0" totalsRowShown="0">
  <x:tableColumns count="13">
    <x:tableColumn id="1" name="change_id"/>
    <x:tableColumn id="2" name="ledger_reference"/>
    <x:tableColumn id="3" name="change_date"/>
    <x:tableColumn id="4" name="change_type"/>
    <x:tableColumn id="5" name="scope"/>
    <x:tableColumn id="6" name="description"/>
    <x:tableColumn id="7" name="commit_or_deployment"/>
    <x:tableColumn id="8" name="implementation_status"/>
    <x:tableColumn id="9" name="before_window"/>
    <x:tableColumn id="10" name="after_window"/>
    <x:tableColumn id="11" name="verification"/>
    <x:tableColumn id="12" name="next_measurement"/>
    <x:tableColumn id="13" name="evidenc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T21HistoricalBaselines" displayName="T21HistoricalBaselines" ref="A5:L16" headerRowCount="1" totalsRowCount="0" totalsRowShown="0">
  <x:tableColumns count="12">
    <x:tableColumn id="1" name="snapshot_id"/>
    <x:tableColumn id="2" name="observed_at"/>
    <x:tableColumn id="3" name="source"/>
    <x:tableColumn id="4" name="window_start"/>
    <x:tableColumn id="5" name="window_end"/>
    <x:tableColumn id="6" name="scope"/>
    <x:tableColumn id="7" name="metric"/>
    <x:tableColumn id="8" name="value"/>
    <x:tableColumn id="9" name="unit"/>
    <x:tableColumn id="10" name="precision"/>
    <x:tableColumn id="11" name="comparison_warning"/>
    <x:tableColumn id="12" name="evidence_url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T22RefreshLog" displayName="T22RefreshLog" ref="A5:M8" headerRowCount="1" totalsRowCount="0" totalsRowShown="0">
  <x:tableColumns count="13">
    <x:tableColumn id="1" name="refresh_id"/>
    <x:tableColumn id="2" name="started_at"/>
    <x:tableColumn id="3" name="source"/>
    <x:tableColumn id="4" name="scope"/>
    <x:tableColumn id="5" name="requested_start"/>
    <x:tableColumn id="6" name="requested_end"/>
    <x:tableColumn id="7" name="last_complete_date"/>
    <x:tableColumn id="8" name="rows_received"/>
    <x:tableColumn id="9" name="status"/>
    <x:tableColumn id="10" name="pagination_or_limit"/>
    <x:tableColumn id="11" name="data_quality"/>
    <x:tableColumn id="12" name="evidence_path"/>
    <x:tableColumn id="13" name="next_act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T24Sources" displayName="T24Sources" ref="A5:E27" headerRowCount="1" totalsRowCount="0" totalsRowShown="0">
  <x:tableColumns count="5">
    <x:tableColumn id="1" name="source_id"/>
    <x:tableColumn id="2" name="description"/>
    <x:tableColumn id="3" name="url"/>
    <x:tableColumn id="4" name="observation_or_retrieval"/>
    <x:tableColumn id="5" name="limitation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6" name="T23DataDictionary" displayName="T23DataDictionary" ref="A5:G349" headerRowCount="1" totalsRowCount="0" totalsRowShown="0">
  <x:tableColumns count="7">
    <x:tableColumn id="1" name="sheet"/>
    <x:tableColumn id="2" name="field"/>
    <x:tableColumn id="3" name="definition"/>
    <x:tableColumn id="4" name="type"/>
    <x:tableColumn id="5" name="grain"/>
    <x:tableColumn id="6" name="aggregation"/>
    <x:tableColumn id="7" name="missing_rul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T25Config" displayName="T25Config" ref="A5:D21" headerRowCount="1" totalsRowCount="0" totalsRowShown="0">
  <x:tableColumns count="4">
    <x:tableColumn id="1" name="parameter"/>
    <x:tableColumn id="2" name="value"/>
    <x:tableColumn id="3" name="rule"/>
    <x:tableColumn id="4" name="sourc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3" name="T26GSCPropertyDaily" displayName="T26GSCPropertyDaily" ref="A5:K6" headerRowCount="1" totalsRowCount="0" totalsRowShown="0">
  <x:tableColumns count="11">
    <x:tableColumn id="1" name="date"/>
    <x:tableColumn id="2" name="search_type"/>
    <x:tableColumn id="3" name="clicks"/>
    <x:tableColumn id="4" name="impressions"/>
    <x:tableColumn id="5" name="avg_position"/>
    <x:tableColumn id="6" name="ctr"/>
    <x:tableColumn id="7" name="refresh_id"/>
    <x:tableColumn id="8" name="data_state"/>
    <x:tableColumn id="9" name="source_timezone"/>
    <x:tableColumn id="10" name="data_quality"/>
    <x:tableColumn id="11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fe3b58d8c043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ad9128d96ec46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2dbfd89c114b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fddf78054d46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88cd1f7ab749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ea6aed4b1d43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5b58134e1748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52a96e667549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59c2d00e7541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f5f8c3946f647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34b694802cc4c7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cf3ee0b21ec47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eaf359a709e445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51617fb4641448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7b07bf61e0d40e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c576839c5104c1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cd6b6b4bef6c4c0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0a165cbd45144f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8f321dacab534ed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3be7586ad38d48f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986c23f555be4ec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68f6d6cfcdca4e4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c32faa0e71e9492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e715eafd896340d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837217b614dc495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97a3c1d4409a453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5d49ca22d74646c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2" hidden="0" customWidth="1"/>
  </x:cols>
  <x:sheetData>
    <x:row r="1" ht="34" customHeight="1">
      <x:c r="A1" s="3" t="str">
        <x:v>README</x:v>
      </x:c>
      <x:c r="B1" s="3"/>
    </x:row>
    <x:row r="2" ht="23" customHeight="1">
      <x:c r="A2" s="7" t="str">
        <x:v>GLOBAL HEALTH | Six markets, country-specific data, multilingual content and a measurable improvement cycle.</x:v>
      </x:c>
      <x:c r="B2" s="7"/>
    </x:row>
    <x:row r="3" ht="23" customHeight="1">
      <x:c r="A3" s="7"/>
      <x:c r="B3" s="7"/>
    </x:row>
    <x:row r="5" ht="32" customHeight="1">
      <x:c r="A5" s="12" t="str">
        <x:v>topic</x:v>
      </x:c>
      <x:c r="B5" s="12" t="str">
        <x:v>instructions</x:v>
      </x:c>
    </x:row>
    <x:row r="6" ht="51" customHeight="1">
      <x:c r="A6" s="36" t="str">
        <x:v>Purpose</x:v>
      </x:c>
      <x:c r="B6" s="18" t="str">
        <x:v>Audit prompt + reusable SEO tracking starter for Global Health. This workbook is not a completed whole-site audit.</x:v>
      </x:c>
    </x:row>
    <x:row r="7" ht="51" customHeight="1">
      <x:c r="A7" s="36" t="str">
        <x:v>What is populated</x:v>
      </x:c>
      <x:c r="B7" s="18" t="str">
        <x:v>33 code-configured market/language combinations, 6 documented primary home routes, 67 audit checks, a proposed issue queue and explicitly dated historical evidence.</x:v>
      </x:c>
    </x:row>
    <x:row r="8" ht="51" customHeight="1">
      <x:c r="A8" s="36" t="str">
        <x:v>What is NOT populated</x:v>
      </x:c>
      <x:c r="B8" s="18" t="str">
        <x:v>Fresh GSC/GA4/OpenSEO exports, a complete URL inventory, live indexation results, backlink/keyword research, full rendered-page checks or an executed booking test.</x:v>
      </x:c>
    </x:row>
    <x:row r="9" ht="51" customHeight="1">
      <x:c r="A9" s="36" t="str">
        <x:v>Primary companion</x:v>
      </x:c>
      <x:c r="B9" s="18" t="str">
        <x:v>Global_Health_SEO_Master_Audit_Prompt.md contains the instructions to run in the repo-aware environment with your existing integrations.</x:v>
      </x:c>
    </x:row>
    <x:row r="10" ht="51" customHeight="1">
      <x:c r="A10" s="36" t="str">
        <x:v>Start here</x:v>
      </x:c>
      <x:c r="B10" s="18" t="str">
        <x:v>Review 03_Data_Access, then run the master prompt. Verify runtime DB configuration and production revision before treating seed config as live availability.</x:v>
      </x:c>
    </x:row>
    <x:row r="11" ht="51" customHeight="1">
      <x:c r="A11" s="36" t="str">
        <x:v>Country versus language</x:v>
      </x:c>
      <x:c r="B11" s="18" t="str">
        <x:v>Use target_country + language + URL identity. Keep searcher_country and visitor_country separate; browser language is not page locale.</x:v>
      </x:c>
    </x:row>
    <x:row r="12" ht="51" customHeight="1">
      <x:c r="A12" s="36" t="str">
        <x:v>Do not create a second ledger</x:v>
      </x:c>
      <x:c r="B12" s="18" t="str">
        <x:v>docs/plans/seo-control-state.md remains authoritative. 19_Issues is a proposed analytical queue until reconciled with the canonical ledger.</x:v>
      </x:c>
    </x:row>
    <x:row r="13" ht="51" customHeight="1">
      <x:c r="A13" s="36" t="str">
        <x:v>Reporting controls</x:v>
      </x:c>
      <x:c r="B13" s="18" t="str">
        <x:v>Fill 25_Config only from verified sources: complete data dates, reporting currency and chosen comparison windows. Current data-freshness dates are intentionally blank.</x:v>
      </x:c>
    </x:row>
    <x:row r="14" ht="51" customHeight="1">
      <x:c r="A14" s="36" t="str">
        <x:v>Raw data contract</x:v>
      </x:c>
      <x:c r="B14" s="18" t="str">
        <x:v>09/10/11/26 use separate grains. Upsert stable keys; record refresh_id, source parameters and data quality. Keep query rows out of page totals.</x:v>
      </x:c>
    </x:row>
    <x:row r="15" ht="51" customHeight="1">
      <x:c r="A15" s="36" t="str">
        <x:v>Monthly formulas</x:v>
      </x:c>
      <x:c r="B15" s="18" t="str">
        <x:v>12_Monthly_Summary uses dynamic table references for July–September 2026. Only final GSC rows and GA4 rows marked Measured with Organic Search are included.</x:v>
      </x:c>
    </x:row>
    <x:row r="16" ht="51" customHeight="1">
      <x:c r="A16" s="36" t="str">
        <x:v>Rate rules</x:v>
      </x:c>
      <x:c r="B16" s="18" t="str">
        <x:v>CTR = clicks / impressions. Engagement rate = engaged sessions / sessions. Weighted position is a page-row diagnostic, not a replacement for GSC property position.</x:v>
      </x:c>
    </x:row>
    <x:row r="17" ht="51" customHeight="1">
      <x:c r="A17" s="36" t="str">
        <x:v>Key-event rate</x:v>
      </x:c>
      <x:c r="B17" s="18" t="str">
        <x:v>Import the correctly scoped official GA4 session key-event rate into column R of the monthly table. Never substitute key_events / sessions or average daily rates.</x:v>
      </x:c>
    </x:row>
    <x:row r="18" ht="51" customHeight="1">
      <x:c r="A18" s="36" t="str">
        <x:v>Currency rules</x:v>
      </x:c>
      <x:c r="B18" s="18" t="str">
        <x:v>Revenue remains blank until reporting_currency is verified. Mixed currencies are not added. Record conversion method and exchange-rate date when conversion is authorized.</x:v>
      </x:c>
    </x:row>
    <x:row r="19" ht="51" customHeight="1">
      <x:c r="A19" s="36" t="str">
        <x:v>Missing does not mean zero</x:v>
      </x:c>
      <x:c r="B19" s="18" t="str">
        <x:v>Leave unknown numbers blank and explain them in quality fields. Do not invent historic sessions, bookings, revenue, search volume or indexation.</x:v>
      </x:c>
    </x:row>
    <x:row r="20" ht="51" customHeight="1">
      <x:c r="A20" s="36" t="str">
        <x:v>Known measurement discontinuity</x:v>
      </x:c>
      <x:c r="B20" s="18" t="str">
        <x:v>Repo documents no GA4 collection from 2 August through 8 September 2026 and restoration on 9 September. Recheck; do not compare that gap as a real performance fall.</x:v>
      </x:c>
    </x:row>
    <x:row r="21" ht="51" customHeight="1">
      <x:c r="A21" s="36" t="str">
        <x:v>Historical source handling</x:v>
      </x:c>
      <x:c r="B21" s="18" t="str">
        <x:v>21_Historical_Baselines preserves dated UI aggregates. Do not sum overlapping windows, paste rounded figures into raw daily tables or treat all non-indexed URLs as errors.</x:v>
      </x:c>
    </x:row>
    <x:row r="22" ht="51" customHeight="1">
      <x:c r="A22" s="36" t="str">
        <x:v>Daily routine</x:v>
      </x:c>
      <x:c r="B22" s="18" t="str">
        <x:v>Refresh recent complete data with an overlapping backfill window; upsert rows; check extraction failures, changed URLs and material anomalies. This is a proposed workflow, not an active schedule.</x:v>
      </x:c>
    </x:row>
    <x:row r="23" ht="51" customHeight="1">
      <x:c r="A23" s="36" t="str">
        <x:v>Weekly routine</x:v>
      </x:c>
      <x:c r="B23" s="18" t="str">
        <x:v>Review market/locale/query opportunities, broken measurement, content queue and recrawl watchlist. Run focused checks rather than a whole-site crawl per small change.</x:v>
      </x:c>
    </x:row>
    <x:row r="24" ht="51" customHeight="1">
      <x:c r="A24" s="36" t="str">
        <x:v>Monthly routine</x:v>
      </x:c>
      <x:c r="B24" s="18" t="str">
        <x:v>Archive the workbook and raw exports; close a complete reporting month; compare eligible non-overlapping windows; refresh competitors/backlinks and review the roadmap.</x:v>
      </x:c>
    </x:row>
    <x:row r="25" ht="51" customHeight="1">
      <x:c r="A25" s="36" t="str">
        <x:v>Growth and copy</x:v>
      </x:c>
      <x:c r="B25" s="18" t="str">
        <x:v>Protect working pages. Rewrite for accurate, useful, natural local language. Em-dash removal is not a ranking strategy. Programmatic pages require original value and real service applicability.</x:v>
      </x:c>
    </x:row>
    <x:row r="26" ht="51" customHeight="1">
      <x:c r="A26" s="36" t="str">
        <x:v>Clinical publication</x:v>
      </x:c>
      <x:c r="B26" s="18" t="str">
        <x:v>Preserve the existing approval contract, including owner-approved single verified in-market clinician approval where applicable. Never fabricate author/reviewer identity or review dates.</x:v>
      </x:c>
    </x:row>
    <x:row r="27" ht="51" customHeight="1">
      <x:c r="A27" s="36" t="str">
        <x:v>Privacy and security</x:v>
      </x:c>
      <x:c r="B27" s="18" t="str">
        <x:v>Use public content and aggregate analytics only. No patient data, appointment details, medical histories, tokens, passwords or private credentials in this workbook.</x:v>
      </x:c>
    </x:row>
    <x:row r="28" ht="51" customHeight="1">
      <x:c r="A28" s="36" t="str">
        <x:v>Safe imports</x:v>
      </x:c>
      <x:c r="B28" s="18" t="str">
        <x:v>Treat imported strings beginning with =, +, -, @, tab or carriage return as literal text. Sanitize before CSV/XLSX writes. Never store tokens or execute imported cell text.</x:v>
      </x:c>
    </x:row>
    <x:row r="29" ht="51" customHeight="1">
      <x:c r="A29" s="36" t="str">
        <x:v>Scale and refresh</x:v>
      </x:c>
      <x:c r="B29" s="18" t="str">
        <x:v>Excel is the reporting surface. Archive raw data outside the workbook as needed. The refresh script must preserve owners/notes, expand tables/formulas and test for duplicate keys and formula errors.</x:v>
      </x:c>
    </x:row>
    <x:row r="30" ht="51" customHeight="1">
      <x:c r="A30" s="36" t="str">
        <x:v>Prepared</x:v>
      </x:c>
      <x:c r="B30" s="18" t="str">
        <x:v>15 September 2026. No repository, production content, analytics settings, database records, scheduled tasks or external link outreach were changed.</x:v>
      </x:c>
    </x:row>
    <x:row r="31" ht="30" customHeight="1">
      <x:c r="A31" s="18"/>
      <x:c r="B31" s="18"/>
    </x:row>
    <x:row r="32" ht="30" customHeight="1">
      <x:c r="A32" s="18"/>
      <x:c r="B32" s="18"/>
    </x:row>
    <x:row r="33" ht="30" customHeight="1">
      <x:c r="A33" s="18"/>
      <x:c r="B33" s="18"/>
    </x:row>
    <x:row r="34" ht="30" customHeight="1">
      <x:c r="A34" s="18"/>
      <x:c r="B34" s="18"/>
    </x:row>
    <x:row r="35" ht="30" customHeight="1">
      <x:c r="A35" s="18"/>
      <x:c r="B35" s="18"/>
    </x:row>
    <x:row r="36" ht="30" customHeight="1">
      <x:c r="A36" s="18"/>
      <x:c r="B36" s="18"/>
    </x:row>
    <x:row r="37" ht="30" customHeight="1">
      <x:c r="A37" s="18"/>
      <x:c r="B37" s="18"/>
    </x:row>
    <x:row r="38" ht="30" customHeight="1">
      <x:c r="A38" s="18"/>
      <x:c r="B38" s="18"/>
    </x:row>
    <x:row r="39" ht="30" customHeight="1">
      <x:c r="A39" s="18"/>
      <x:c r="B39" s="18"/>
    </x:row>
    <x:row r="40" ht="30" customHeight="1">
      <x:c r="A40" s="18"/>
      <x:c r="B40" s="18"/>
    </x:row>
    <x:row r="41" ht="30" customHeight="1">
      <x:c r="A41" s="18"/>
      <x:c r="B41" s="18"/>
    </x:row>
    <x:row r="42" ht="30" customHeight="1">
      <x:c r="A42" s="18"/>
      <x:c r="B42" s="18"/>
    </x:row>
    <x:row r="43" ht="30" customHeight="1">
      <x:c r="A43" s="18"/>
      <x:c r="B43" s="18"/>
    </x:row>
    <x:row r="44" ht="30" customHeight="1">
      <x:c r="A44" s="18"/>
      <x:c r="B44" s="18"/>
    </x:row>
    <x:row r="45" ht="30" customHeight="1">
      <x:c r="A45" s="18"/>
      <x:c r="B45" s="18"/>
    </x:row>
    <x:row r="46" ht="30" customHeight="1">
      <x:c r="A46" s="18"/>
      <x:c r="B46" s="18"/>
    </x:row>
    <x:row r="47" ht="30" customHeight="1">
      <x:c r="A47" s="18"/>
      <x:c r="B47" s="18"/>
    </x:row>
    <x:row r="48" ht="30" customHeight="1">
      <x:c r="A48" s="18"/>
      <x:c r="B48" s="18"/>
    </x:row>
    <x:row r="49" ht="30" customHeight="1">
      <x:c r="A49" s="18"/>
      <x:c r="B49" s="18"/>
    </x:row>
    <x:row r="50" ht="30" customHeight="1">
      <x:c r="A50" s="18"/>
      <x:c r="B50" s="18"/>
    </x:row>
    <x:row r="51" ht="30" customHeight="1">
      <x:c r="A51" s="18"/>
      <x:c r="B51" s="18"/>
    </x:row>
    <x:row r="52" ht="30" customHeight="1">
      <x:c r="A52" s="18"/>
      <x:c r="B52" s="18"/>
    </x:row>
    <x:row r="53" ht="30" customHeight="1">
      <x:c r="A53" s="18"/>
      <x:c r="B53" s="18"/>
    </x:row>
    <x:row r="54" ht="30" customHeight="1">
      <x:c r="A54" s="18"/>
      <x:c r="B54" s="18"/>
    </x:row>
    <x:row r="55" ht="30" customHeight="1">
      <x:c r="A55" s="18"/>
      <x:c r="B55" s="18"/>
    </x:row>
    <x:row r="56" ht="30" customHeight="1">
      <x:c r="A56" s="18"/>
      <x:c r="B56" s="18"/>
    </x:row>
    <x:row r="57" ht="30" customHeight="1">
      <x:c r="A57" s="18"/>
      <x:c r="B57" s="18"/>
    </x:row>
    <x:row r="58" ht="30" customHeight="1">
      <x:c r="A58" s="18"/>
      <x:c r="B58" s="18"/>
    </x:row>
    <x:row r="59" ht="30" customHeight="1">
      <x:c r="A59" s="18"/>
      <x:c r="B59" s="18"/>
    </x:row>
    <x:row r="60" ht="30" customHeight="1">
      <x:c r="A60" s="18"/>
      <x:c r="B60" s="18"/>
    </x:row>
    <x:row r="61" ht="30" customHeight="1">
      <x:c r="A61" s="18"/>
      <x:c r="B61" s="18"/>
    </x:row>
    <x:row r="62" ht="30" customHeight="1">
      <x:c r="A62" s="18"/>
      <x:c r="B62" s="18"/>
    </x:row>
    <x:row r="63" ht="30" customHeight="1">
      <x:c r="A63" s="18"/>
      <x:c r="B63" s="18"/>
    </x:row>
    <x:row r="64" ht="30" customHeight="1">
      <x:c r="A64" s="18"/>
      <x:c r="B64" s="18"/>
    </x:row>
    <x:row r="65" ht="30" customHeight="1">
      <x:c r="A65" s="18"/>
      <x:c r="B65" s="18"/>
    </x:row>
    <x:row r="66" ht="30" customHeight="1">
      <x:c r="A66" s="18"/>
      <x:c r="B66" s="18"/>
    </x:row>
    <x:row r="67" ht="30" customHeight="1">
      <x:c r="A67" s="18"/>
      <x:c r="B67" s="18"/>
    </x:row>
    <x:row r="68" ht="30" customHeight="1">
      <x:c r="A68" s="18"/>
      <x:c r="B68" s="18"/>
    </x:row>
    <x:row r="69" ht="30" customHeight="1">
      <x:c r="A69" s="18"/>
      <x:c r="B69" s="18"/>
    </x:row>
    <x:row r="70" ht="30" customHeight="1">
      <x:c r="A70" s="18"/>
      <x:c r="B70" s="18"/>
    </x:row>
    <x:row r="71" ht="30" customHeight="1">
      <x:c r="A71" s="18"/>
      <x:c r="B71" s="18"/>
    </x:row>
    <x:row r="72" ht="30" customHeight="1">
      <x:c r="A72" s="18"/>
      <x:c r="B72" s="18"/>
    </x:row>
    <x:row r="73" ht="30" customHeight="1">
      <x:c r="A73" s="18"/>
      <x:c r="B73" s="18"/>
    </x:row>
    <x:row r="74" ht="30" customHeight="1">
      <x:c r="A74" s="18"/>
      <x:c r="B74" s="18"/>
    </x:row>
    <x:row r="75" ht="30" customHeight="1">
      <x:c r="A75" s="18"/>
      <x:c r="B75" s="18"/>
    </x:row>
    <x:row r="76" ht="30" customHeight="1">
      <x:c r="A76" s="18"/>
      <x:c r="B76" s="18"/>
    </x:row>
    <x:row r="77" ht="30" customHeight="1">
      <x:c r="A77" s="18"/>
      <x:c r="B77" s="18"/>
    </x:row>
    <x:row r="78" ht="30" customHeight="1">
      <x:c r="A78" s="18"/>
      <x:c r="B78" s="18"/>
    </x:row>
    <x:row r="79" ht="30" customHeight="1">
      <x:c r="A79" s="18"/>
      <x:c r="B79" s="18"/>
    </x:row>
    <x:row r="80" ht="30" customHeight="1">
      <x:c r="A80" s="18"/>
      <x:c r="B80" s="18"/>
    </x:row>
    <x:row r="81" ht="30" customHeight="1">
      <x:c r="A81" s="18"/>
      <x:c r="B81" s="18"/>
    </x:row>
    <x:row r="82" ht="30" customHeight="1">
      <x:c r="A82" s="18"/>
      <x:c r="B82" s="18"/>
    </x:row>
    <x:row r="83" ht="30" customHeight="1">
      <x:c r="A83" s="18"/>
      <x:c r="B83" s="18"/>
    </x:row>
    <x:row r="84" ht="30" customHeight="1">
      <x:c r="A84" s="18"/>
      <x:c r="B84" s="18"/>
    </x:row>
    <x:row r="85" ht="30" customHeight="1">
      <x:c r="A85" s="18"/>
      <x:c r="B85" s="18"/>
    </x:row>
    <x:row r="86" ht="30" customHeight="1">
      <x:c r="A86" s="18"/>
      <x:c r="B86" s="18"/>
    </x:row>
    <x:row r="87" ht="30" customHeight="1">
      <x:c r="A87" s="18"/>
      <x:c r="B87" s="18"/>
    </x:row>
    <x:row r="88" ht="30" customHeight="1">
      <x:c r="A88" s="18"/>
      <x:c r="B88" s="18"/>
    </x:row>
    <x:row r="89" ht="30" customHeight="1">
      <x:c r="A89" s="18"/>
      <x:c r="B89" s="18"/>
    </x:row>
    <x:row r="90" ht="30" customHeight="1">
      <x:c r="A90" s="18"/>
      <x:c r="B90" s="18"/>
    </x:row>
    <x:row r="91" ht="30" customHeight="1">
      <x:c r="A91" s="18"/>
      <x:c r="B91" s="18"/>
    </x:row>
    <x:row r="92" ht="30" customHeight="1">
      <x:c r="A92" s="18"/>
      <x:c r="B92" s="18"/>
    </x:row>
    <x:row r="93" ht="30" customHeight="1">
      <x:c r="A93" s="18"/>
      <x:c r="B93" s="18"/>
    </x:row>
    <x:row r="94" ht="30" customHeight="1">
      <x:c r="A94" s="18"/>
      <x:c r="B94" s="18"/>
    </x:row>
    <x:row r="95" ht="30" customHeight="1">
      <x:c r="A95" s="18"/>
      <x:c r="B95" s="18"/>
    </x:row>
    <x:row r="96" ht="30" customHeight="1">
      <x:c r="A96" s="18"/>
      <x:c r="B96" s="18"/>
    </x:row>
    <x:row r="97" ht="30" customHeight="1">
      <x:c r="A97" s="18"/>
      <x:c r="B97" s="18"/>
    </x:row>
    <x:row r="98" ht="30" customHeight="1">
      <x:c r="A98" s="18"/>
      <x:c r="B98" s="18"/>
    </x:row>
    <x:row r="99" ht="30" customHeight="1">
      <x:c r="A99" s="18"/>
      <x:c r="B99" s="18"/>
    </x:row>
    <x:row r="100" ht="30" customHeight="1">
      <x:c r="A100" s="18"/>
      <x:c r="B100" s="18"/>
    </x:row>
    <x:row r="101" ht="30" customHeight="1">
      <x:c r="A101" s="18"/>
      <x:c r="B101" s="18"/>
    </x:row>
    <x:row r="102" ht="30" customHeight="1">
      <x:c r="A102" s="18"/>
      <x:c r="B102" s="18"/>
    </x:row>
    <x:row r="103" ht="30" customHeight="1">
      <x:c r="A103" s="18"/>
      <x:c r="B103" s="18"/>
    </x:row>
    <x:row r="104" ht="30" customHeight="1">
      <x:c r="A104" s="18"/>
      <x:c r="B104" s="18"/>
    </x:row>
    <x:row r="105" ht="30" customHeight="1">
      <x:c r="A105" s="18"/>
      <x:c r="B105" s="18"/>
    </x:row>
  </x:sheetData>
  <x:mergeCells>
    <x:mergeCell ref="A1:B1"/>
    <x:mergeCell ref="A2:B3"/>
  </x:mergeCells>
  <x:pageMargins left="0.7" right="0.7" top="0.75" bottom="0.75" header="0.3" footer="0.3"/>
  <x:tableParts count="1">
    <x:tablePart xmlns:r="http://schemas.openxmlformats.org/officeDocument/2006/relationships" r:id="R58fe3b58d8c043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5" customHeight="1">
      <x:c r="A1" s="78" t="str">
        <x:v>GLOBAL HEALTH  /  SEO CONTROL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</x:row>
    <x:row r="2" ht="25" customHeight="1">
      <x:c r="A2" s="78"/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</x:row>
    <x:row r="3" ht="25" customHeight="1">
      <x:c r="A3" s="80" t="str">
        <x:v>Audit-preparation dashboard • 15 September 2026
Configuration and historical evidence only. Fresh per-page performance has not yet been imported.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</x:row>
    <x:row r="4" ht="25" customHeight="1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80"/>
    </x:row>
    <x:row r="5" ht="25" customHeight="1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</x:row>
    <x:row r="6" ht="25" customHeight="1">
      <x:c r="A6" s="76" t="str">
        <x:v>CONFIGURED MARKETS</x:v>
      </x:c>
      <x:c r="B6" s="76"/>
      <x:c r="C6" s="76"/>
      <x:c r="D6" s="76" t="str">
        <x:v>MARKET × LANGUAGE</x:v>
      </x:c>
      <x:c r="E6" s="76"/>
      <x:c r="F6" s="76"/>
      <x:c r="G6" s="76" t="str">
        <x:v>SEEDED HOME ROUTES</x:v>
      </x:c>
      <x:c r="H6" s="76"/>
      <x:c r="I6" s="76"/>
      <x:c r="J6" s="76" t="str">
        <x:v>AUDIT CHECKS</x:v>
      </x:c>
      <x:c r="K6" s="76"/>
      <x:c r="L6" s="76"/>
    </x:row>
    <x:row r="7" ht="25" customHeight="1">
      <x:c r="A7" s="74" t="n">
        <x:f>COUNTIF('02_Markets_Locales'!H6:H38,"Yes")</x:f>
        <x:v>6</x:v>
      </x:c>
      <x:c r="B7" s="74"/>
      <x:c r="C7" s="74"/>
      <x:c r="D7" s="74" t="n">
        <x:f>COUNTA('02_Markets_Locales'!A6:A38)</x:f>
        <x:v>33</x:v>
      </x:c>
      <x:c r="E7" s="74"/>
      <x:c r="F7" s="74"/>
      <x:c r="G7" s="74" t="n">
        <x:f>COUNTA('04_Page_Inventory'!A6:A11)</x:f>
        <x:v>6</x:v>
      </x:c>
      <x:c r="H7" s="74"/>
      <x:c r="I7" s="74"/>
      <x:c r="J7" s="74" t="n">
        <x:f>COUNTA('05_Technical_QA'!A6:A72)</x:f>
        <x:v>67</x:v>
      </x:c>
      <x:c r="K7" s="74"/>
      <x:c r="L7" s="74"/>
    </x:row>
    <x:row r="8" ht="25" customHeight="1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</x:row>
    <x:row r="9" ht="25" customHeight="1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</x:row>
    <x:row r="10" ht="25" customHeight="1">
      <x:c r="A10" s="76" t="str">
        <x:v>FRESH GSC PAGE ROWS</x:v>
      </x:c>
      <x:c r="B10" s="76"/>
      <x:c r="C10" s="76"/>
      <x:c r="D10" s="76" t="str">
        <x:v>FRESH GA4 ROWS</x:v>
      </x:c>
      <x:c r="E10" s="76"/>
      <x:c r="F10" s="76"/>
      <x:c r="G10" s="76" t="str">
        <x:v>PROPOSED ISSUE ROWS</x:v>
      </x:c>
      <x:c r="H10" s="76"/>
      <x:c r="I10" s="76"/>
      <x:c r="J10" s="76" t="str">
        <x:v>HISTORICAL GSC CLICKS</x:v>
      </x:c>
      <x:c r="K10" s="76"/>
      <x:c r="L10" s="76"/>
    </x:row>
    <x:row r="11" ht="25" customHeight="1">
      <x:c r="A11" s="74" t="n">
        <x:f>COUNT(T09GSCPageDaily[date])</x:f>
        <x:v>0</x:v>
      </x:c>
      <x:c r="B11" s="74"/>
      <x:c r="C11" s="74"/>
      <x:c r="D11" s="74" t="n">
        <x:f>COUNT(T11GA4LandingDaily[date])</x:f>
        <x:v>0</x:v>
      </x:c>
      <x:c r="E11" s="74"/>
      <x:c r="F11" s="74"/>
      <x:c r="G11" s="74" t="n">
        <x:f>COUNTA('19_Issues'!A6:A9)</x:f>
        <x:v>4</x:v>
      </x:c>
      <x:c r="H11" s="74"/>
      <x:c r="I11" s="74"/>
      <x:c r="J11" s="74" t="n">
        <x:f>'21_Historical_Baselines'!H6</x:f>
        <x:v>918</x:v>
      </x:c>
      <x:c r="K11" s="74"/>
      <x:c r="L11" s="74"/>
    </x:row>
    <x:row r="12" ht="25" customHeight="1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</x:row>
    <x:row r="13" ht="25" customHeight="1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</x:row>
    <x:row r="14" ht="25" customHeight="1">
      <x:c r="A14" s="82" t="str">
        <x:v>Historical GSC card: 918 clicks, 10 August–6 September 2026, observed in the repo's 9 September browser review. This is not a current result or a prior-period comparator.</x:v>
      </x:c>
      <x:c r="B14" s="82"/>
      <x:c r="C14" s="82"/>
      <x:c r="D14" s="82"/>
      <x:c r="E14" s="82"/>
      <x:c r="F14" s="82"/>
      <x:c r="G14" s="82"/>
      <x:c r="H14" s="82"/>
      <x:c r="I14" s="82"/>
      <x:c r="J14" s="82"/>
      <x:c r="K14" s="82"/>
      <x:c r="L14" s="82"/>
    </x:row>
    <x:row r="15" ht="25" customHeight="1">
      <x:c r="A15" s="82"/>
      <x:c r="B15" s="82"/>
      <x:c r="C15" s="82"/>
      <x:c r="D15" s="82"/>
      <x:c r="E15" s="82"/>
      <x:c r="F15" s="82"/>
      <x:c r="G15" s="82"/>
      <x:c r="H15" s="82"/>
      <x:c r="I15" s="82"/>
      <x:c r="J15" s="82"/>
      <x:c r="K15" s="82"/>
      <x:c r="L15" s="82"/>
    </x:row>
    <x:row r="16" ht="25" customHeight="1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</x:row>
    <x:row r="17" ht="25" customHeight="1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</x:row>
    <x:row r="18" ht="32" customHeight="1">
      <x:c r="A18" s="64" t="str">
        <x:v>Market</x:v>
      </x:c>
      <x:c r="B18" s="64" t="str">
        <x:v>Configured locales</x:v>
      </x:c>
      <x:c r="C18" s="64" t="str">
        <x:v>Seeded routes</x:v>
      </x:c>
      <x:c r="D18" s="38"/>
      <x:c r="E18" s="38"/>
      <x:c r="F18" s="38"/>
      <x:c r="G18" s="38"/>
      <x:c r="H18" s="38"/>
      <x:c r="I18" s="38"/>
      <x:c r="J18" s="38"/>
      <x:c r="K18" s="38"/>
      <x:c r="L18" s="38"/>
    </x:row>
    <x:row r="19" ht="25" customHeight="1">
      <x:c r="A19" s="38" t="str">
        <x:v>Ireland</x:v>
      </x:c>
      <x:c r="B19" s="38" t="n">
        <x:f>COUNTIF('02_Markets_Locales'!B6:B38,A19)</x:f>
        <x:v>6</x:v>
      </x:c>
      <x:c r="C19" s="38" t="n">
        <x:f>COUNTIF('04_Page_Inventory'!E6:E11,A19)</x:f>
        <x:v>1</x:v>
      </x:c>
      <x:c r="D19" s="38"/>
      <x:c r="E19" s="38"/>
      <x:c r="F19" s="38"/>
      <x:c r="G19" s="38"/>
      <x:c r="H19" s="38"/>
      <x:c r="I19" s="38"/>
      <x:c r="J19" s="38"/>
      <x:c r="K19" s="38"/>
      <x:c r="L19" s="38"/>
    </x:row>
    <x:row r="20" ht="25" customHeight="1">
      <x:c r="A20" s="38" t="str">
        <x:v>Czechia</x:v>
      </x:c>
      <x:c r="B20" s="38" t="n">
        <x:f>COUNTIF('02_Markets_Locales'!B6:B38,A20)</x:f>
        <x:v>6</x:v>
      </x:c>
      <x:c r="C20" s="38" t="n">
        <x:f>COUNTIF('04_Page_Inventory'!E6:E11,A20)</x:f>
        <x:v>1</x:v>
      </x:c>
      <x:c r="D20" s="38"/>
      <x:c r="E20" s="38"/>
      <x:c r="F20" s="38"/>
      <x:c r="G20" s="38"/>
      <x:c r="H20" s="38"/>
      <x:c r="I20" s="38"/>
      <x:c r="J20" s="38"/>
      <x:c r="K20" s="38"/>
      <x:c r="L20" s="38"/>
    </x:row>
    <x:row r="21" ht="25" customHeight="1">
      <x:c r="A21" s="38" t="str">
        <x:v>Portugal</x:v>
      </x:c>
      <x:c r="B21" s="38" t="n">
        <x:f>COUNTIF('02_Markets_Locales'!B6:B38,A21)</x:f>
        <x:v>6</x:v>
      </x:c>
      <x:c r="C21" s="38" t="n">
        <x:f>COUNTIF('04_Page_Inventory'!E6:E11,A21)</x:f>
        <x:v>1</x:v>
      </x:c>
      <x:c r="D21" s="38"/>
      <x:c r="E21" s="38"/>
      <x:c r="F21" s="38"/>
      <x:c r="G21" s="38"/>
      <x:c r="H21" s="38"/>
      <x:c r="I21" s="38"/>
      <x:c r="J21" s="38"/>
      <x:c r="K21" s="38"/>
      <x:c r="L21" s="38"/>
    </x:row>
    <x:row r="22" ht="25" customHeight="1">
      <x:c r="A22" s="38" t="str">
        <x:v>Spain</x:v>
      </x:c>
      <x:c r="B22" s="38" t="n">
        <x:f>COUNTIF('02_Markets_Locales'!B6:B38,A22)</x:f>
        <x:v>6</x:v>
      </x:c>
      <x:c r="C22" s="38" t="n">
        <x:f>COUNTIF('04_Page_Inventory'!E6:E11,A22)</x:f>
        <x:v>1</x:v>
      </x:c>
      <x:c r="D22" s="38"/>
      <x:c r="E22" s="38"/>
      <x:c r="F22" s="38"/>
      <x:c r="G22" s="38"/>
      <x:c r="H22" s="38"/>
      <x:c r="I22" s="38"/>
      <x:c r="J22" s="38"/>
      <x:c r="K22" s="38"/>
      <x:c r="L22" s="38"/>
    </x:row>
    <x:row r="23" ht="25" customHeight="1">
      <x:c r="A23" s="38" t="str">
        <x:v>Romania</x:v>
      </x:c>
      <x:c r="B23" s="38" t="n">
        <x:f>COUNTIF('02_Markets_Locales'!B6:B38,A23)</x:f>
        <x:v>6</x:v>
      </x:c>
      <x:c r="C23" s="38" t="n">
        <x:f>COUNTIF('04_Page_Inventory'!E6:E11,A23)</x:f>
        <x:v>1</x:v>
      </x:c>
      <x:c r="D23" s="38"/>
      <x:c r="E23" s="38"/>
      <x:c r="F23" s="38"/>
      <x:c r="G23" s="38"/>
      <x:c r="H23" s="38"/>
      <x:c r="I23" s="38"/>
      <x:c r="J23" s="38"/>
      <x:c r="K23" s="38"/>
      <x:c r="L23" s="38"/>
    </x:row>
    <x:row r="24" ht="25" customHeight="1">
      <x:c r="A24" s="38" t="str">
        <x:v>Brazil</x:v>
      </x:c>
      <x:c r="B24" s="38" t="n">
        <x:f>COUNTIF('02_Markets_Locales'!B6:B38,A24)</x:f>
        <x:v>3</x:v>
      </x:c>
      <x:c r="C24" s="38" t="n">
        <x:f>COUNTIF('04_Page_Inventory'!E6:E11,A24)</x:f>
        <x:v>1</x:v>
      </x:c>
      <x:c r="D24" s="38"/>
      <x:c r="E24" s="38"/>
      <x:c r="F24" s="38"/>
      <x:c r="G24" s="38"/>
      <x:c r="H24" s="38"/>
      <x:c r="I24" s="38"/>
      <x:c r="J24" s="38"/>
      <x:c r="K24" s="38"/>
      <x:c r="L24" s="38"/>
    </x:row>
    <x:row r="25" ht="25" customHeight="1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</x:row>
    <x:row r="26" ht="25" customHeight="1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</x:row>
    <x:row r="27" ht="25" customHeight="1">
      <x:c r="A27" s="84" t="str">
        <x:v>NEXT GATE
Verify connected data sources, discover every public URL, then populate the raw tables and recheck the proposed issues.</x:v>
      </x:c>
      <x:c r="B27" s="84"/>
      <x:c r="C27" s="84"/>
      <x:c r="D27" s="84"/>
      <x:c r="E27" s="38"/>
      <x:c r="F27" s="38"/>
      <x:c r="G27" s="38"/>
      <x:c r="H27" s="38"/>
      <x:c r="I27" s="38"/>
      <x:c r="J27" s="38"/>
      <x:c r="K27" s="38"/>
      <x:c r="L27" s="38"/>
    </x:row>
    <x:row r="28" ht="25" customHeight="1">
      <x:c r="A28" s="84"/>
      <x:c r="B28" s="84"/>
      <x:c r="C28" s="84"/>
      <x:c r="D28" s="84"/>
      <x:c r="E28" s="38"/>
      <x:c r="F28" s="38"/>
      <x:c r="G28" s="38"/>
      <x:c r="H28" s="38"/>
      <x:c r="I28" s="38"/>
      <x:c r="J28" s="38"/>
      <x:c r="K28" s="38"/>
      <x:c r="L28" s="38"/>
    </x:row>
    <x:row r="29" ht="25" customHeight="1">
      <x:c r="A29" s="84"/>
      <x:c r="B29" s="84"/>
      <x:c r="C29" s="84"/>
      <x:c r="D29" s="84"/>
      <x:c r="E29" s="38"/>
      <x:c r="F29" s="38"/>
      <x:c r="G29" s="38"/>
      <x:c r="H29" s="38"/>
      <x:c r="I29" s="38"/>
      <x:c r="J29" s="38"/>
      <x:c r="K29" s="38"/>
      <x:c r="L29" s="38"/>
    </x:row>
    <x:row r="30" ht="25" customHeight="1">
      <x:c r="A30" s="84"/>
      <x:c r="B30" s="84"/>
      <x:c r="C30" s="84"/>
      <x:c r="D30" s="84"/>
      <x:c r="E30" s="38"/>
      <x:c r="F30" s="38"/>
      <x:c r="G30" s="38"/>
      <x:c r="H30" s="38"/>
      <x:c r="I30" s="38"/>
      <x:c r="J30" s="38"/>
      <x:c r="K30" s="38"/>
      <x:c r="L30" s="38"/>
    </x:row>
    <x:row r="31" ht="25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</x:row>
    <x:row r="32" ht="25" customHeight="1">
      <x:c r="A32" s="86" t="str">
        <x:v>READ FIRST: 00_README  →  03_Data_Access  →  25_Config
The canonical repo ledger remains authoritative. No automatic refresh, publication, repository writes or production changes were performed.</x:v>
      </x:c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</x:row>
    <x:row r="33" ht="25" customHeight="1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</x:row>
    <x:row r="34" ht="25" customHeight="1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</x:row>
  </x:sheetData>
  <x:mergeCells>
    <x:mergeCell ref="A1:L2"/>
    <x:mergeCell ref="A3:L4"/>
    <x:mergeCell ref="A6:C6"/>
    <x:mergeCell ref="A7:C8"/>
    <x:mergeCell ref="D6:F6"/>
    <x:mergeCell ref="D7:F8"/>
    <x:mergeCell ref="G6:I6"/>
    <x:mergeCell ref="G7:I8"/>
    <x:mergeCell ref="J6:L6"/>
    <x:mergeCell ref="J7:L8"/>
    <x:mergeCell ref="A10:C10"/>
    <x:mergeCell ref="A11:C12"/>
    <x:mergeCell ref="D10:F10"/>
    <x:mergeCell ref="D11:F12"/>
    <x:mergeCell ref="G10:I10"/>
    <x:mergeCell ref="G11:I12"/>
    <x:mergeCell ref="J10:L10"/>
    <x:mergeCell ref="J11:L12"/>
    <x:mergeCell ref="A14:L15"/>
    <x:mergeCell ref="A27:D30"/>
    <x:mergeCell ref="A32:L34"/>
  </x:mergeCells>
  <x:pageMargins left="0.7" right="0.7" top="0.75" bottom="0.75" header="0.3" footer="0.3"/>
  <x:drawing xmlns:r="http://schemas.openxmlformats.org/officeDocument/2006/relationships" r:id="Rcad9128d96ec46aa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8" hidden="0" customWidth="1"/>
    <x:col min="5" max="5" width="13" hidden="0" customWidth="1"/>
    <x:col min="6" max="6" width="18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  <x:col min="11" max="11" width="18" hidden="0" customWidth="1"/>
    <x:col min="12" max="12" width="38" hidden="0" customWidth="1"/>
  </x:cols>
  <x:sheetData>
    <x:row r="1" ht="34" customHeight="1">
      <x:c r="A1" s="3" t="str">
        <x:v>MARKETS LOCALES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33 code-configured combinations. Supported does not mean published, indexable, or clinically available.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market_locale_key</x:v>
      </x:c>
      <x:c r="B5" s="12" t="str">
        <x:v>target_country</x:v>
      </x:c>
      <x:c r="C5" s="12" t="str">
        <x:v>country_code</x:v>
      </x:c>
      <x:c r="D5" s="12" t="str">
        <x:v>country_slug</x:v>
      </x:c>
      <x:c r="E5" s="12" t="str">
        <x:v>language</x:v>
      </x:c>
      <x:c r="F5" s="12" t="str">
        <x:v>hreflang_tag</x:v>
      </x:c>
      <x:c r="G5" s="12" t="str">
        <x:v>default_language</x:v>
      </x:c>
      <x:c r="H5" s="12" t="str">
        <x:v>is_default</x:v>
      </x:c>
      <x:c r="I5" s="12" t="str">
        <x:v>configured_home_path</x:v>
      </x:c>
      <x:c r="J5" s="12" t="str">
        <x:v>booking_timezone</x:v>
      </x:c>
      <x:c r="K5" s="12" t="str">
        <x:v>verification_state</x:v>
      </x:c>
      <x:c r="L5" s="12" t="str">
        <x:v>source_url</x:v>
      </x:c>
    </x:row>
    <x:row r="6" ht="30" customHeight="1">
      <x:c r="A6" s="18" t="str">
        <x:v>IE|en</x:v>
      </x:c>
      <x:c r="B6" s="18" t="str">
        <x:v>Ireland</x:v>
      </x:c>
      <x:c r="C6" s="18" t="str">
        <x:v>IE</x:v>
      </x:c>
      <x:c r="D6" s="18" t="str">
        <x:v>ireland</x:v>
      </x:c>
      <x:c r="E6" s="18" t="str">
        <x:v>en</x:v>
      </x:c>
      <x:c r="F6" s="18" t="str">
        <x:v>en-IE</x:v>
      </x:c>
      <x:c r="G6" s="18" t="str">
        <x:v>en</x:v>
      </x:c>
      <x:c r="H6" s="18" t="str">
        <x:v>Yes</x:v>
      </x:c>
      <x:c r="I6" s="18" t="str">
        <x:v>/ireland/en</x:v>
      </x:c>
      <x:c r="J6" s="18" t="str">
        <x:v>Europe/Dublin</x:v>
      </x:c>
      <x:c r="K6" s="18" t="str">
        <x:v>Configured; publication unverified</x:v>
      </x:c>
      <x:c r="L6" s="18" t="str">
        <x:v>https://github.com/myglobalhealthonline/global-health-website/blob/main/frontend/data/countries.ts</x:v>
      </x:c>
    </x:row>
    <x:row r="7" ht="30" customHeight="1">
      <x:c r="A7" s="18" t="str">
        <x:v>IE|pt</x:v>
      </x:c>
      <x:c r="B7" s="18" t="str">
        <x:v>Ireland</x:v>
      </x:c>
      <x:c r="C7" s="18" t="str">
        <x:v>IE</x:v>
      </x:c>
      <x:c r="D7" s="18" t="str">
        <x:v>ireland</x:v>
      </x:c>
      <x:c r="E7" s="18" t="str">
        <x:v>pt</x:v>
      </x:c>
      <x:c r="F7" s="18" t="str">
        <x:v>pt-IE</x:v>
      </x:c>
      <x:c r="G7" s="18" t="str">
        <x:v>en</x:v>
      </x:c>
      <x:c r="H7" s="18" t="str">
        <x:v>No</x:v>
      </x:c>
      <x:c r="I7" s="18" t="str">
        <x:v>/ireland/pt</x:v>
      </x:c>
      <x:c r="J7" s="18" t="str">
        <x:v>Europe/Dublin</x:v>
      </x:c>
      <x:c r="K7" s="18" t="str">
        <x:v>Configured; publication unverified</x:v>
      </x:c>
      <x:c r="L7" s="18" t="str">
        <x:v>https://github.com/myglobalhealthonline/global-health-website/blob/main/frontend/data/countries.ts</x:v>
      </x:c>
    </x:row>
    <x:row r="8" ht="30" customHeight="1">
      <x:c r="A8" s="18" t="str">
        <x:v>IE|es</x:v>
      </x:c>
      <x:c r="B8" s="18" t="str">
        <x:v>Ireland</x:v>
      </x:c>
      <x:c r="C8" s="18" t="str">
        <x:v>IE</x:v>
      </x:c>
      <x:c r="D8" s="18" t="str">
        <x:v>ireland</x:v>
      </x:c>
      <x:c r="E8" s="18" t="str">
        <x:v>es</x:v>
      </x:c>
      <x:c r="F8" s="18" t="str">
        <x:v>es-IE</x:v>
      </x:c>
      <x:c r="G8" s="18" t="str">
        <x:v>en</x:v>
      </x:c>
      <x:c r="H8" s="18" t="str">
        <x:v>No</x:v>
      </x:c>
      <x:c r="I8" s="18" t="str">
        <x:v>/ireland/es</x:v>
      </x:c>
      <x:c r="J8" s="18" t="str">
        <x:v>Europe/Dublin</x:v>
      </x:c>
      <x:c r="K8" s="18" t="str">
        <x:v>Configured; publication unverified</x:v>
      </x:c>
      <x:c r="L8" s="18" t="str">
        <x:v>https://github.com/myglobalhealthonline/global-health-website/blob/main/frontend/data/countries.ts</x:v>
      </x:c>
    </x:row>
    <x:row r="9" ht="30" customHeight="1">
      <x:c r="A9" s="18" t="str">
        <x:v>IE|cs</x:v>
      </x:c>
      <x:c r="B9" s="18" t="str">
        <x:v>Ireland</x:v>
      </x:c>
      <x:c r="C9" s="18" t="str">
        <x:v>IE</x:v>
      </x:c>
      <x:c r="D9" s="18" t="str">
        <x:v>ireland</x:v>
      </x:c>
      <x:c r="E9" s="18" t="str">
        <x:v>cs</x:v>
      </x:c>
      <x:c r="F9" s="18" t="str">
        <x:v>cs-IE</x:v>
      </x:c>
      <x:c r="G9" s="18" t="str">
        <x:v>en</x:v>
      </x:c>
      <x:c r="H9" s="18" t="str">
        <x:v>No</x:v>
      </x:c>
      <x:c r="I9" s="18" t="str">
        <x:v>/ireland/cs</x:v>
      </x:c>
      <x:c r="J9" s="18" t="str">
        <x:v>Europe/Dublin</x:v>
      </x:c>
      <x:c r="K9" s="18" t="str">
        <x:v>Configured; publication unverified</x:v>
      </x:c>
      <x:c r="L9" s="18" t="str">
        <x:v>https://github.com/myglobalhealthonline/global-health-website/blob/main/frontend/data/countries.ts</x:v>
      </x:c>
    </x:row>
    <x:row r="10" ht="30" customHeight="1">
      <x:c r="A10" s="18" t="str">
        <x:v>IE|ro</x:v>
      </x:c>
      <x:c r="B10" s="18" t="str">
        <x:v>Ireland</x:v>
      </x:c>
      <x:c r="C10" s="18" t="str">
        <x:v>IE</x:v>
      </x:c>
      <x:c r="D10" s="18" t="str">
        <x:v>ireland</x:v>
      </x:c>
      <x:c r="E10" s="18" t="str">
        <x:v>ro</x:v>
      </x:c>
      <x:c r="F10" s="18" t="str">
        <x:v>ro-IE</x:v>
      </x:c>
      <x:c r="G10" s="18" t="str">
        <x:v>en</x:v>
      </x:c>
      <x:c r="H10" s="18" t="str">
        <x:v>No</x:v>
      </x:c>
      <x:c r="I10" s="18" t="str">
        <x:v>/ireland/ro</x:v>
      </x:c>
      <x:c r="J10" s="18" t="str">
        <x:v>Europe/Dublin</x:v>
      </x:c>
      <x:c r="K10" s="18" t="str">
        <x:v>Configured; publication unverified</x:v>
      </x:c>
      <x:c r="L10" s="18" t="str">
        <x:v>https://github.com/myglobalhealthonline/global-health-website/blob/main/frontend/data/countries.ts</x:v>
      </x:c>
    </x:row>
    <x:row r="11" ht="30" customHeight="1">
      <x:c r="A11" s="18" t="str">
        <x:v>IE|de</x:v>
      </x:c>
      <x:c r="B11" s="18" t="str">
        <x:v>Ireland</x:v>
      </x:c>
      <x:c r="C11" s="18" t="str">
        <x:v>IE</x:v>
      </x:c>
      <x:c r="D11" s="18" t="str">
        <x:v>ireland</x:v>
      </x:c>
      <x:c r="E11" s="18" t="str">
        <x:v>de</x:v>
      </x:c>
      <x:c r="F11" s="18" t="str">
        <x:v>de-IE</x:v>
      </x:c>
      <x:c r="G11" s="18" t="str">
        <x:v>en</x:v>
      </x:c>
      <x:c r="H11" s="18" t="str">
        <x:v>No</x:v>
      </x:c>
      <x:c r="I11" s="18" t="str">
        <x:v>/ireland/de</x:v>
      </x:c>
      <x:c r="J11" s="18" t="str">
        <x:v>Europe/Dublin</x:v>
      </x:c>
      <x:c r="K11" s="18" t="str">
        <x:v>Configured; publication unverified</x:v>
      </x:c>
      <x:c r="L11" s="18" t="str">
        <x:v>https://github.com/myglobalhealthonline/global-health-website/blob/main/frontend/data/countries.ts</x:v>
      </x:c>
    </x:row>
    <x:row r="12" ht="30" customHeight="1">
      <x:c r="A12" s="18" t="str">
        <x:v>CZ|cs</x:v>
      </x:c>
      <x:c r="B12" s="18" t="str">
        <x:v>Czechia</x:v>
      </x:c>
      <x:c r="C12" s="18" t="str">
        <x:v>CZ</x:v>
      </x:c>
      <x:c r="D12" s="18" t="str">
        <x:v>czechia</x:v>
      </x:c>
      <x:c r="E12" s="18" t="str">
        <x:v>cs</x:v>
      </x:c>
      <x:c r="F12" s="18" t="str">
        <x:v>cs-CZ</x:v>
      </x:c>
      <x:c r="G12" s="18" t="str">
        <x:v>cs</x:v>
      </x:c>
      <x:c r="H12" s="18" t="str">
        <x:v>Yes</x:v>
      </x:c>
      <x:c r="I12" s="18" t="str">
        <x:v>/czechia/cs</x:v>
      </x:c>
      <x:c r="J12" s="18" t="str">
        <x:v>Europe/Prague</x:v>
      </x:c>
      <x:c r="K12" s="18" t="str">
        <x:v>Configured; publication unverified</x:v>
      </x:c>
      <x:c r="L12" s="18" t="str">
        <x:v>https://github.com/myglobalhealthonline/global-health-website/blob/main/frontend/data/countries.ts</x:v>
      </x:c>
    </x:row>
    <x:row r="13" ht="30" customHeight="1">
      <x:c r="A13" s="18" t="str">
        <x:v>CZ|en</x:v>
      </x:c>
      <x:c r="B13" s="18" t="str">
        <x:v>Czechia</x:v>
      </x:c>
      <x:c r="C13" s="18" t="str">
        <x:v>CZ</x:v>
      </x:c>
      <x:c r="D13" s="18" t="str">
        <x:v>czechia</x:v>
      </x:c>
      <x:c r="E13" s="18" t="str">
        <x:v>en</x:v>
      </x:c>
      <x:c r="F13" s="18" t="str">
        <x:v>en-CZ</x:v>
      </x:c>
      <x:c r="G13" s="18" t="str">
        <x:v>cs</x:v>
      </x:c>
      <x:c r="H13" s="18" t="str">
        <x:v>No</x:v>
      </x:c>
      <x:c r="I13" s="18" t="str">
        <x:v>/czechia/en</x:v>
      </x:c>
      <x:c r="J13" s="18" t="str">
        <x:v>Europe/Prague</x:v>
      </x:c>
      <x:c r="K13" s="18" t="str">
        <x:v>Configured; publication unverified</x:v>
      </x:c>
      <x:c r="L13" s="18" t="str">
        <x:v>https://github.com/myglobalhealthonline/global-health-website/blob/main/frontend/data/countries.ts</x:v>
      </x:c>
    </x:row>
    <x:row r="14" ht="30" customHeight="1">
      <x:c r="A14" s="18" t="str">
        <x:v>CZ|pt</x:v>
      </x:c>
      <x:c r="B14" s="18" t="str">
        <x:v>Czechia</x:v>
      </x:c>
      <x:c r="C14" s="18" t="str">
        <x:v>CZ</x:v>
      </x:c>
      <x:c r="D14" s="18" t="str">
        <x:v>czechia</x:v>
      </x:c>
      <x:c r="E14" s="18" t="str">
        <x:v>pt</x:v>
      </x:c>
      <x:c r="F14" s="18" t="str">
        <x:v>pt-CZ</x:v>
      </x:c>
      <x:c r="G14" s="18" t="str">
        <x:v>cs</x:v>
      </x:c>
      <x:c r="H14" s="18" t="str">
        <x:v>No</x:v>
      </x:c>
      <x:c r="I14" s="18" t="str">
        <x:v>/czechia/pt</x:v>
      </x:c>
      <x:c r="J14" s="18" t="str">
        <x:v>Europe/Prague</x:v>
      </x:c>
      <x:c r="K14" s="18" t="str">
        <x:v>Configured; publication unverified</x:v>
      </x:c>
      <x:c r="L14" s="18" t="str">
        <x:v>https://github.com/myglobalhealthonline/global-health-website/blob/main/frontend/data/countries.ts</x:v>
      </x:c>
    </x:row>
    <x:row r="15" ht="30" customHeight="1">
      <x:c r="A15" s="18" t="str">
        <x:v>CZ|es</x:v>
      </x:c>
      <x:c r="B15" s="18" t="str">
        <x:v>Czechia</x:v>
      </x:c>
      <x:c r="C15" s="18" t="str">
        <x:v>CZ</x:v>
      </x:c>
      <x:c r="D15" s="18" t="str">
        <x:v>czechia</x:v>
      </x:c>
      <x:c r="E15" s="18" t="str">
        <x:v>es</x:v>
      </x:c>
      <x:c r="F15" s="18" t="str">
        <x:v>es-CZ</x:v>
      </x:c>
      <x:c r="G15" s="18" t="str">
        <x:v>cs</x:v>
      </x:c>
      <x:c r="H15" s="18" t="str">
        <x:v>No</x:v>
      </x:c>
      <x:c r="I15" s="18" t="str">
        <x:v>/czechia/es</x:v>
      </x:c>
      <x:c r="J15" s="18" t="str">
        <x:v>Europe/Prague</x:v>
      </x:c>
      <x:c r="K15" s="18" t="str">
        <x:v>Configured; publication unverified</x:v>
      </x:c>
      <x:c r="L15" s="18" t="str">
        <x:v>https://github.com/myglobalhealthonline/global-health-website/blob/main/frontend/data/countries.ts</x:v>
      </x:c>
    </x:row>
    <x:row r="16" ht="30" customHeight="1">
      <x:c r="A16" s="18" t="str">
        <x:v>CZ|ro</x:v>
      </x:c>
      <x:c r="B16" s="18" t="str">
        <x:v>Czechia</x:v>
      </x:c>
      <x:c r="C16" s="18" t="str">
        <x:v>CZ</x:v>
      </x:c>
      <x:c r="D16" s="18" t="str">
        <x:v>czechia</x:v>
      </x:c>
      <x:c r="E16" s="18" t="str">
        <x:v>ro</x:v>
      </x:c>
      <x:c r="F16" s="18" t="str">
        <x:v>ro-CZ</x:v>
      </x:c>
      <x:c r="G16" s="18" t="str">
        <x:v>cs</x:v>
      </x:c>
      <x:c r="H16" s="18" t="str">
        <x:v>No</x:v>
      </x:c>
      <x:c r="I16" s="18" t="str">
        <x:v>/czechia/ro</x:v>
      </x:c>
      <x:c r="J16" s="18" t="str">
        <x:v>Europe/Prague</x:v>
      </x:c>
      <x:c r="K16" s="18" t="str">
        <x:v>Configured; publication unverified</x:v>
      </x:c>
      <x:c r="L16" s="18" t="str">
        <x:v>https://github.com/myglobalhealthonline/global-health-website/blob/main/frontend/data/countries.ts</x:v>
      </x:c>
    </x:row>
    <x:row r="17" ht="30" customHeight="1">
      <x:c r="A17" s="18" t="str">
        <x:v>CZ|de</x:v>
      </x:c>
      <x:c r="B17" s="18" t="str">
        <x:v>Czechia</x:v>
      </x:c>
      <x:c r="C17" s="18" t="str">
        <x:v>CZ</x:v>
      </x:c>
      <x:c r="D17" s="18" t="str">
        <x:v>czechia</x:v>
      </x:c>
      <x:c r="E17" s="18" t="str">
        <x:v>de</x:v>
      </x:c>
      <x:c r="F17" s="18" t="str">
        <x:v>de-CZ</x:v>
      </x:c>
      <x:c r="G17" s="18" t="str">
        <x:v>cs</x:v>
      </x:c>
      <x:c r="H17" s="18" t="str">
        <x:v>No</x:v>
      </x:c>
      <x:c r="I17" s="18" t="str">
        <x:v>/czechia/de</x:v>
      </x:c>
      <x:c r="J17" s="18" t="str">
        <x:v>Europe/Prague</x:v>
      </x:c>
      <x:c r="K17" s="18" t="str">
        <x:v>Configured; publication unverified</x:v>
      </x:c>
      <x:c r="L17" s="18" t="str">
        <x:v>https://github.com/myglobalhealthonline/global-health-website/blob/main/frontend/data/countries.ts</x:v>
      </x:c>
    </x:row>
    <x:row r="18" ht="30" customHeight="1">
      <x:c r="A18" s="18" t="str">
        <x:v>PT|pt</x:v>
      </x:c>
      <x:c r="B18" s="18" t="str">
        <x:v>Portugal</x:v>
      </x:c>
      <x:c r="C18" s="18" t="str">
        <x:v>PT</x:v>
      </x:c>
      <x:c r="D18" s="18" t="str">
        <x:v>portugal</x:v>
      </x:c>
      <x:c r="E18" s="18" t="str">
        <x:v>pt</x:v>
      </x:c>
      <x:c r="F18" s="18" t="str">
        <x:v>pt-PT</x:v>
      </x:c>
      <x:c r="G18" s="18" t="str">
        <x:v>pt</x:v>
      </x:c>
      <x:c r="H18" s="18" t="str">
        <x:v>Yes</x:v>
      </x:c>
      <x:c r="I18" s="18" t="str">
        <x:v>/portugal/pt</x:v>
      </x:c>
      <x:c r="J18" s="18" t="str">
        <x:v>Europe/Lisbon</x:v>
      </x:c>
      <x:c r="K18" s="18" t="str">
        <x:v>Configured; publication unverified</x:v>
      </x:c>
      <x:c r="L18" s="18" t="str">
        <x:v>https://github.com/myglobalhealthonline/global-health-website/blob/main/frontend/data/countries.ts</x:v>
      </x:c>
    </x:row>
    <x:row r="19" ht="30" customHeight="1">
      <x:c r="A19" s="18" t="str">
        <x:v>PT|en</x:v>
      </x:c>
      <x:c r="B19" s="18" t="str">
        <x:v>Portugal</x:v>
      </x:c>
      <x:c r="C19" s="18" t="str">
        <x:v>PT</x:v>
      </x:c>
      <x:c r="D19" s="18" t="str">
        <x:v>portugal</x:v>
      </x:c>
      <x:c r="E19" s="18" t="str">
        <x:v>en</x:v>
      </x:c>
      <x:c r="F19" s="18" t="str">
        <x:v>en-PT</x:v>
      </x:c>
      <x:c r="G19" s="18" t="str">
        <x:v>pt</x:v>
      </x:c>
      <x:c r="H19" s="18" t="str">
        <x:v>No</x:v>
      </x:c>
      <x:c r="I19" s="18" t="str">
        <x:v>/portugal/en</x:v>
      </x:c>
      <x:c r="J19" s="18" t="str">
        <x:v>Europe/Lisbon</x:v>
      </x:c>
      <x:c r="K19" s="18" t="str">
        <x:v>Configured; publication unverified</x:v>
      </x:c>
      <x:c r="L19" s="18" t="str">
        <x:v>https://github.com/myglobalhealthonline/global-health-website/blob/main/frontend/data/countries.ts</x:v>
      </x:c>
    </x:row>
    <x:row r="20" ht="30" customHeight="1">
      <x:c r="A20" s="18" t="str">
        <x:v>PT|es</x:v>
      </x:c>
      <x:c r="B20" s="18" t="str">
        <x:v>Portugal</x:v>
      </x:c>
      <x:c r="C20" s="18" t="str">
        <x:v>PT</x:v>
      </x:c>
      <x:c r="D20" s="18" t="str">
        <x:v>portugal</x:v>
      </x:c>
      <x:c r="E20" s="18" t="str">
        <x:v>es</x:v>
      </x:c>
      <x:c r="F20" s="18" t="str">
        <x:v>es-PT</x:v>
      </x:c>
      <x:c r="G20" s="18" t="str">
        <x:v>pt</x:v>
      </x:c>
      <x:c r="H20" s="18" t="str">
        <x:v>No</x:v>
      </x:c>
      <x:c r="I20" s="18" t="str">
        <x:v>/portugal/es</x:v>
      </x:c>
      <x:c r="J20" s="18" t="str">
        <x:v>Europe/Lisbon</x:v>
      </x:c>
      <x:c r="K20" s="18" t="str">
        <x:v>Configured; publication unverified</x:v>
      </x:c>
      <x:c r="L20" s="18" t="str">
        <x:v>https://github.com/myglobalhealthonline/global-health-website/blob/main/frontend/data/countries.ts</x:v>
      </x:c>
    </x:row>
    <x:row r="21" ht="30" customHeight="1">
      <x:c r="A21" s="18" t="str">
        <x:v>PT|cs</x:v>
      </x:c>
      <x:c r="B21" s="18" t="str">
        <x:v>Portugal</x:v>
      </x:c>
      <x:c r="C21" s="18" t="str">
        <x:v>PT</x:v>
      </x:c>
      <x:c r="D21" s="18" t="str">
        <x:v>portugal</x:v>
      </x:c>
      <x:c r="E21" s="18" t="str">
        <x:v>cs</x:v>
      </x:c>
      <x:c r="F21" s="18" t="str">
        <x:v>cs-PT</x:v>
      </x:c>
      <x:c r="G21" s="18" t="str">
        <x:v>pt</x:v>
      </x:c>
      <x:c r="H21" s="18" t="str">
        <x:v>No</x:v>
      </x:c>
      <x:c r="I21" s="18" t="str">
        <x:v>/portugal/cs</x:v>
      </x:c>
      <x:c r="J21" s="18" t="str">
        <x:v>Europe/Lisbon</x:v>
      </x:c>
      <x:c r="K21" s="18" t="str">
        <x:v>Configured; publication unverified</x:v>
      </x:c>
      <x:c r="L21" s="18" t="str">
        <x:v>https://github.com/myglobalhealthonline/global-health-website/blob/main/frontend/data/countries.ts</x:v>
      </x:c>
    </x:row>
    <x:row r="22" ht="30" customHeight="1">
      <x:c r="A22" s="18" t="str">
        <x:v>PT|ro</x:v>
      </x:c>
      <x:c r="B22" s="18" t="str">
        <x:v>Portugal</x:v>
      </x:c>
      <x:c r="C22" s="18" t="str">
        <x:v>PT</x:v>
      </x:c>
      <x:c r="D22" s="18" t="str">
        <x:v>portugal</x:v>
      </x:c>
      <x:c r="E22" s="18" t="str">
        <x:v>ro</x:v>
      </x:c>
      <x:c r="F22" s="18" t="str">
        <x:v>ro-PT</x:v>
      </x:c>
      <x:c r="G22" s="18" t="str">
        <x:v>pt</x:v>
      </x:c>
      <x:c r="H22" s="18" t="str">
        <x:v>No</x:v>
      </x:c>
      <x:c r="I22" s="18" t="str">
        <x:v>/portugal/ro</x:v>
      </x:c>
      <x:c r="J22" s="18" t="str">
        <x:v>Europe/Lisbon</x:v>
      </x:c>
      <x:c r="K22" s="18" t="str">
        <x:v>Configured; publication unverified</x:v>
      </x:c>
      <x:c r="L22" s="18" t="str">
        <x:v>https://github.com/myglobalhealthonline/global-health-website/blob/main/frontend/data/countries.ts</x:v>
      </x:c>
    </x:row>
    <x:row r="23" ht="30" customHeight="1">
      <x:c r="A23" s="18" t="str">
        <x:v>PT|de</x:v>
      </x:c>
      <x:c r="B23" s="18" t="str">
        <x:v>Portugal</x:v>
      </x:c>
      <x:c r="C23" s="18" t="str">
        <x:v>PT</x:v>
      </x:c>
      <x:c r="D23" s="18" t="str">
        <x:v>portugal</x:v>
      </x:c>
      <x:c r="E23" s="18" t="str">
        <x:v>de</x:v>
      </x:c>
      <x:c r="F23" s="18" t="str">
        <x:v>de-PT</x:v>
      </x:c>
      <x:c r="G23" s="18" t="str">
        <x:v>pt</x:v>
      </x:c>
      <x:c r="H23" s="18" t="str">
        <x:v>No</x:v>
      </x:c>
      <x:c r="I23" s="18" t="str">
        <x:v>/portugal/de</x:v>
      </x:c>
      <x:c r="J23" s="18" t="str">
        <x:v>Europe/Lisbon</x:v>
      </x:c>
      <x:c r="K23" s="18" t="str">
        <x:v>Configured; publication unverified</x:v>
      </x:c>
      <x:c r="L23" s="18" t="str">
        <x:v>https://github.com/myglobalhealthonline/global-health-website/blob/main/frontend/data/countries.ts</x:v>
      </x:c>
    </x:row>
    <x:row r="24" ht="30" customHeight="1">
      <x:c r="A24" s="18" t="str">
        <x:v>ES|es</x:v>
      </x:c>
      <x:c r="B24" s="18" t="str">
        <x:v>Spain</x:v>
      </x:c>
      <x:c r="C24" s="18" t="str">
        <x:v>ES</x:v>
      </x:c>
      <x:c r="D24" s="18" t="str">
        <x:v>spain</x:v>
      </x:c>
      <x:c r="E24" s="18" t="str">
        <x:v>es</x:v>
      </x:c>
      <x:c r="F24" s="18" t="str">
        <x:v>es-ES</x:v>
      </x:c>
      <x:c r="G24" s="18" t="str">
        <x:v>es</x:v>
      </x:c>
      <x:c r="H24" s="18" t="str">
        <x:v>Yes</x:v>
      </x:c>
      <x:c r="I24" s="18" t="str">
        <x:v>/spain/es</x:v>
      </x:c>
      <x:c r="J24" s="18" t="str">
        <x:v>Europe/Madrid</x:v>
      </x:c>
      <x:c r="K24" s="18" t="str">
        <x:v>Configured; publication unverified</x:v>
      </x:c>
      <x:c r="L24" s="18" t="str">
        <x:v>https://github.com/myglobalhealthonline/global-health-website/blob/main/frontend/data/countries.ts</x:v>
      </x:c>
    </x:row>
    <x:row r="25" ht="30" customHeight="1">
      <x:c r="A25" s="18" t="str">
        <x:v>ES|en</x:v>
      </x:c>
      <x:c r="B25" s="18" t="str">
        <x:v>Spain</x:v>
      </x:c>
      <x:c r="C25" s="18" t="str">
        <x:v>ES</x:v>
      </x:c>
      <x:c r="D25" s="18" t="str">
        <x:v>spain</x:v>
      </x:c>
      <x:c r="E25" s="18" t="str">
        <x:v>en</x:v>
      </x:c>
      <x:c r="F25" s="18" t="str">
        <x:v>en-ES</x:v>
      </x:c>
      <x:c r="G25" s="18" t="str">
        <x:v>es</x:v>
      </x:c>
      <x:c r="H25" s="18" t="str">
        <x:v>No</x:v>
      </x:c>
      <x:c r="I25" s="18" t="str">
        <x:v>/spain/en</x:v>
      </x:c>
      <x:c r="J25" s="18" t="str">
        <x:v>Europe/Madrid</x:v>
      </x:c>
      <x:c r="K25" s="18" t="str">
        <x:v>Configured; publication unverified</x:v>
      </x:c>
      <x:c r="L25" s="18" t="str">
        <x:v>https://github.com/myglobalhealthonline/global-health-website/blob/main/frontend/data/countries.ts</x:v>
      </x:c>
    </x:row>
    <x:row r="26" ht="30" customHeight="1">
      <x:c r="A26" s="18" t="str">
        <x:v>ES|pt</x:v>
      </x:c>
      <x:c r="B26" s="18" t="str">
        <x:v>Spain</x:v>
      </x:c>
      <x:c r="C26" s="18" t="str">
        <x:v>ES</x:v>
      </x:c>
      <x:c r="D26" s="18" t="str">
        <x:v>spain</x:v>
      </x:c>
      <x:c r="E26" s="18" t="str">
        <x:v>pt</x:v>
      </x:c>
      <x:c r="F26" s="18" t="str">
        <x:v>pt-ES</x:v>
      </x:c>
      <x:c r="G26" s="18" t="str">
        <x:v>es</x:v>
      </x:c>
      <x:c r="H26" s="18" t="str">
        <x:v>No</x:v>
      </x:c>
      <x:c r="I26" s="18" t="str">
        <x:v>/spain/pt</x:v>
      </x:c>
      <x:c r="J26" s="18" t="str">
        <x:v>Europe/Madrid</x:v>
      </x:c>
      <x:c r="K26" s="18" t="str">
        <x:v>Configured; publication unverified</x:v>
      </x:c>
      <x:c r="L26" s="18" t="str">
        <x:v>https://github.com/myglobalhealthonline/global-health-website/blob/main/frontend/data/countries.ts</x:v>
      </x:c>
    </x:row>
    <x:row r="27" ht="30" customHeight="1">
      <x:c r="A27" s="18" t="str">
        <x:v>ES|cs</x:v>
      </x:c>
      <x:c r="B27" s="18" t="str">
        <x:v>Spain</x:v>
      </x:c>
      <x:c r="C27" s="18" t="str">
        <x:v>ES</x:v>
      </x:c>
      <x:c r="D27" s="18" t="str">
        <x:v>spain</x:v>
      </x:c>
      <x:c r="E27" s="18" t="str">
        <x:v>cs</x:v>
      </x:c>
      <x:c r="F27" s="18" t="str">
        <x:v>cs-ES</x:v>
      </x:c>
      <x:c r="G27" s="18" t="str">
        <x:v>es</x:v>
      </x:c>
      <x:c r="H27" s="18" t="str">
        <x:v>No</x:v>
      </x:c>
      <x:c r="I27" s="18" t="str">
        <x:v>/spain/cs</x:v>
      </x:c>
      <x:c r="J27" s="18" t="str">
        <x:v>Europe/Madrid</x:v>
      </x:c>
      <x:c r="K27" s="18" t="str">
        <x:v>Configured; publication unverified</x:v>
      </x:c>
      <x:c r="L27" s="18" t="str">
        <x:v>https://github.com/myglobalhealthonline/global-health-website/blob/main/frontend/data/countries.ts</x:v>
      </x:c>
    </x:row>
    <x:row r="28" ht="30" customHeight="1">
      <x:c r="A28" s="18" t="str">
        <x:v>ES|ro</x:v>
      </x:c>
      <x:c r="B28" s="18" t="str">
        <x:v>Spain</x:v>
      </x:c>
      <x:c r="C28" s="18" t="str">
        <x:v>ES</x:v>
      </x:c>
      <x:c r="D28" s="18" t="str">
        <x:v>spain</x:v>
      </x:c>
      <x:c r="E28" s="18" t="str">
        <x:v>ro</x:v>
      </x:c>
      <x:c r="F28" s="18" t="str">
        <x:v>ro-ES</x:v>
      </x:c>
      <x:c r="G28" s="18" t="str">
        <x:v>es</x:v>
      </x:c>
      <x:c r="H28" s="18" t="str">
        <x:v>No</x:v>
      </x:c>
      <x:c r="I28" s="18" t="str">
        <x:v>/spain/ro</x:v>
      </x:c>
      <x:c r="J28" s="18" t="str">
        <x:v>Europe/Madrid</x:v>
      </x:c>
      <x:c r="K28" s="18" t="str">
        <x:v>Configured; publication unverified</x:v>
      </x:c>
      <x:c r="L28" s="18" t="str">
        <x:v>https://github.com/myglobalhealthonline/global-health-website/blob/main/frontend/data/countries.ts</x:v>
      </x:c>
    </x:row>
    <x:row r="29" ht="30" customHeight="1">
      <x:c r="A29" s="18" t="str">
        <x:v>ES|de</x:v>
      </x:c>
      <x:c r="B29" s="18" t="str">
        <x:v>Spain</x:v>
      </x:c>
      <x:c r="C29" s="18" t="str">
        <x:v>ES</x:v>
      </x:c>
      <x:c r="D29" s="18" t="str">
        <x:v>spain</x:v>
      </x:c>
      <x:c r="E29" s="18" t="str">
        <x:v>de</x:v>
      </x:c>
      <x:c r="F29" s="18" t="str">
        <x:v>de-ES</x:v>
      </x:c>
      <x:c r="G29" s="18" t="str">
        <x:v>es</x:v>
      </x:c>
      <x:c r="H29" s="18" t="str">
        <x:v>No</x:v>
      </x:c>
      <x:c r="I29" s="18" t="str">
        <x:v>/spain/de</x:v>
      </x:c>
      <x:c r="J29" s="18" t="str">
        <x:v>Europe/Madrid</x:v>
      </x:c>
      <x:c r="K29" s="18" t="str">
        <x:v>Configured; publication unverified</x:v>
      </x:c>
      <x:c r="L29" s="18" t="str">
        <x:v>https://github.com/myglobalhealthonline/global-health-website/blob/main/frontend/data/countries.ts</x:v>
      </x:c>
    </x:row>
    <x:row r="30" ht="30" customHeight="1">
      <x:c r="A30" s="18" t="str">
        <x:v>RO|ro</x:v>
      </x:c>
      <x:c r="B30" s="18" t="str">
        <x:v>Romania</x:v>
      </x:c>
      <x:c r="C30" s="18" t="str">
        <x:v>RO</x:v>
      </x:c>
      <x:c r="D30" s="18" t="str">
        <x:v>romania</x:v>
      </x:c>
      <x:c r="E30" s="18" t="str">
        <x:v>ro</x:v>
      </x:c>
      <x:c r="F30" s="18" t="str">
        <x:v>ro-RO</x:v>
      </x:c>
      <x:c r="G30" s="18" t="str">
        <x:v>ro</x:v>
      </x:c>
      <x:c r="H30" s="18" t="str">
        <x:v>Yes</x:v>
      </x:c>
      <x:c r="I30" s="18" t="str">
        <x:v>/romania/ro</x:v>
      </x:c>
      <x:c r="J30" s="18" t="str">
        <x:v>Europe/Bucharest</x:v>
      </x:c>
      <x:c r="K30" s="18" t="str">
        <x:v>Configured; publication unverified</x:v>
      </x:c>
      <x:c r="L30" s="18" t="str">
        <x:v>https://github.com/myglobalhealthonline/global-health-website/blob/main/frontend/data/countries.ts</x:v>
      </x:c>
    </x:row>
    <x:row r="31" ht="30" customHeight="1">
      <x:c r="A31" s="18" t="str">
        <x:v>RO|en</x:v>
      </x:c>
      <x:c r="B31" s="18" t="str">
        <x:v>Romania</x:v>
      </x:c>
      <x:c r="C31" s="18" t="str">
        <x:v>RO</x:v>
      </x:c>
      <x:c r="D31" s="18" t="str">
        <x:v>romania</x:v>
      </x:c>
      <x:c r="E31" s="18" t="str">
        <x:v>en</x:v>
      </x:c>
      <x:c r="F31" s="18" t="str">
        <x:v>en-RO</x:v>
      </x:c>
      <x:c r="G31" s="18" t="str">
        <x:v>ro</x:v>
      </x:c>
      <x:c r="H31" s="18" t="str">
        <x:v>No</x:v>
      </x:c>
      <x:c r="I31" s="18" t="str">
        <x:v>/romania/en</x:v>
      </x:c>
      <x:c r="J31" s="18" t="str">
        <x:v>Europe/Bucharest</x:v>
      </x:c>
      <x:c r="K31" s="18" t="str">
        <x:v>Configured; publication unverified</x:v>
      </x:c>
      <x:c r="L31" s="18" t="str">
        <x:v>https://github.com/myglobalhealthonline/global-health-website/blob/main/frontend/data/countries.ts</x:v>
      </x:c>
    </x:row>
    <x:row r="32" ht="30" customHeight="1">
      <x:c r="A32" s="18" t="str">
        <x:v>RO|pt</x:v>
      </x:c>
      <x:c r="B32" s="18" t="str">
        <x:v>Romania</x:v>
      </x:c>
      <x:c r="C32" s="18" t="str">
        <x:v>RO</x:v>
      </x:c>
      <x:c r="D32" s="18" t="str">
        <x:v>romania</x:v>
      </x:c>
      <x:c r="E32" s="18" t="str">
        <x:v>pt</x:v>
      </x:c>
      <x:c r="F32" s="18" t="str">
        <x:v>pt-RO</x:v>
      </x:c>
      <x:c r="G32" s="18" t="str">
        <x:v>ro</x:v>
      </x:c>
      <x:c r="H32" s="18" t="str">
        <x:v>No</x:v>
      </x:c>
      <x:c r="I32" s="18" t="str">
        <x:v>/romania/pt</x:v>
      </x:c>
      <x:c r="J32" s="18" t="str">
        <x:v>Europe/Bucharest</x:v>
      </x:c>
      <x:c r="K32" s="18" t="str">
        <x:v>Configured; publication unverified</x:v>
      </x:c>
      <x:c r="L32" s="18" t="str">
        <x:v>https://github.com/myglobalhealthonline/global-health-website/blob/main/frontend/data/countries.ts</x:v>
      </x:c>
    </x:row>
    <x:row r="33" ht="30" customHeight="1">
      <x:c r="A33" s="18" t="str">
        <x:v>RO|es</x:v>
      </x:c>
      <x:c r="B33" s="18" t="str">
        <x:v>Romania</x:v>
      </x:c>
      <x:c r="C33" s="18" t="str">
        <x:v>RO</x:v>
      </x:c>
      <x:c r="D33" s="18" t="str">
        <x:v>romania</x:v>
      </x:c>
      <x:c r="E33" s="18" t="str">
        <x:v>es</x:v>
      </x:c>
      <x:c r="F33" s="18" t="str">
        <x:v>es-RO</x:v>
      </x:c>
      <x:c r="G33" s="18" t="str">
        <x:v>ro</x:v>
      </x:c>
      <x:c r="H33" s="18" t="str">
        <x:v>No</x:v>
      </x:c>
      <x:c r="I33" s="18" t="str">
        <x:v>/romania/es</x:v>
      </x:c>
      <x:c r="J33" s="18" t="str">
        <x:v>Europe/Bucharest</x:v>
      </x:c>
      <x:c r="K33" s="18" t="str">
        <x:v>Configured; publication unverified</x:v>
      </x:c>
      <x:c r="L33" s="18" t="str">
        <x:v>https://github.com/myglobalhealthonline/global-health-website/blob/main/frontend/data/countries.ts</x:v>
      </x:c>
    </x:row>
    <x:row r="34" ht="30" customHeight="1">
      <x:c r="A34" s="18" t="str">
        <x:v>RO|cs</x:v>
      </x:c>
      <x:c r="B34" s="18" t="str">
        <x:v>Romania</x:v>
      </x:c>
      <x:c r="C34" s="18" t="str">
        <x:v>RO</x:v>
      </x:c>
      <x:c r="D34" s="18" t="str">
        <x:v>romania</x:v>
      </x:c>
      <x:c r="E34" s="18" t="str">
        <x:v>cs</x:v>
      </x:c>
      <x:c r="F34" s="18" t="str">
        <x:v>cs-RO</x:v>
      </x:c>
      <x:c r="G34" s="18" t="str">
        <x:v>ro</x:v>
      </x:c>
      <x:c r="H34" s="18" t="str">
        <x:v>No</x:v>
      </x:c>
      <x:c r="I34" s="18" t="str">
        <x:v>/romania/cs</x:v>
      </x:c>
      <x:c r="J34" s="18" t="str">
        <x:v>Europe/Bucharest</x:v>
      </x:c>
      <x:c r="K34" s="18" t="str">
        <x:v>Configured; publication unverified</x:v>
      </x:c>
      <x:c r="L34" s="18" t="str">
        <x:v>https://github.com/myglobalhealthonline/global-health-website/blob/main/frontend/data/countries.ts</x:v>
      </x:c>
    </x:row>
    <x:row r="35" ht="30" customHeight="1">
      <x:c r="A35" s="18" t="str">
        <x:v>RO|de</x:v>
      </x:c>
      <x:c r="B35" s="18" t="str">
        <x:v>Romania</x:v>
      </x:c>
      <x:c r="C35" s="18" t="str">
        <x:v>RO</x:v>
      </x:c>
      <x:c r="D35" s="18" t="str">
        <x:v>romania</x:v>
      </x:c>
      <x:c r="E35" s="18" t="str">
        <x:v>de</x:v>
      </x:c>
      <x:c r="F35" s="18" t="str">
        <x:v>de-RO</x:v>
      </x:c>
      <x:c r="G35" s="18" t="str">
        <x:v>ro</x:v>
      </x:c>
      <x:c r="H35" s="18" t="str">
        <x:v>No</x:v>
      </x:c>
      <x:c r="I35" s="18" t="str">
        <x:v>/romania/de</x:v>
      </x:c>
      <x:c r="J35" s="18" t="str">
        <x:v>Europe/Bucharest</x:v>
      </x:c>
      <x:c r="K35" s="18" t="str">
        <x:v>Configured; publication unverified</x:v>
      </x:c>
      <x:c r="L35" s="18" t="str">
        <x:v>https://github.com/myglobalhealthonline/global-health-website/blob/main/frontend/data/countries.ts</x:v>
      </x:c>
    </x:row>
    <x:row r="36" ht="30" customHeight="1">
      <x:c r="A36" s="18" t="str">
        <x:v>BR|pt</x:v>
      </x:c>
      <x:c r="B36" s="18" t="str">
        <x:v>Brazil</x:v>
      </x:c>
      <x:c r="C36" s="18" t="str">
        <x:v>BR</x:v>
      </x:c>
      <x:c r="D36" s="18" t="str">
        <x:v>brazil</x:v>
      </x:c>
      <x:c r="E36" s="18" t="str">
        <x:v>pt</x:v>
      </x:c>
      <x:c r="F36" s="18" t="str">
        <x:v>pt-BR</x:v>
      </x:c>
      <x:c r="G36" s="18" t="str">
        <x:v>pt</x:v>
      </x:c>
      <x:c r="H36" s="18" t="str">
        <x:v>Yes</x:v>
      </x:c>
      <x:c r="I36" s="18" t="str">
        <x:v>/brazil/pt</x:v>
      </x:c>
      <x:c r="J36" s="18" t="str">
        <x:v>America/Sao_Paulo</x:v>
      </x:c>
      <x:c r="K36" s="18" t="str">
        <x:v>Configured; publication unverified</x:v>
      </x:c>
      <x:c r="L36" s="18" t="str">
        <x:v>https://github.com/myglobalhealthonline/global-health-website/blob/main/frontend/data/countries.ts</x:v>
      </x:c>
    </x:row>
    <x:row r="37" ht="30" customHeight="1">
      <x:c r="A37" s="18" t="str">
        <x:v>BR|en</x:v>
      </x:c>
      <x:c r="B37" s="18" t="str">
        <x:v>Brazil</x:v>
      </x:c>
      <x:c r="C37" s="18" t="str">
        <x:v>BR</x:v>
      </x:c>
      <x:c r="D37" s="18" t="str">
        <x:v>brazil</x:v>
      </x:c>
      <x:c r="E37" s="18" t="str">
        <x:v>en</x:v>
      </x:c>
      <x:c r="F37" s="18" t="str">
        <x:v>en-BR</x:v>
      </x:c>
      <x:c r="G37" s="18" t="str">
        <x:v>pt</x:v>
      </x:c>
      <x:c r="H37" s="18" t="str">
        <x:v>No</x:v>
      </x:c>
      <x:c r="I37" s="18" t="str">
        <x:v>/brazil/en</x:v>
      </x:c>
      <x:c r="J37" s="18" t="str">
        <x:v>America/Sao_Paulo</x:v>
      </x:c>
      <x:c r="K37" s="18" t="str">
        <x:v>Configured; publication unverified</x:v>
      </x:c>
      <x:c r="L37" s="18" t="str">
        <x:v>https://github.com/myglobalhealthonline/global-health-website/blob/main/frontend/data/countries.ts</x:v>
      </x:c>
    </x:row>
    <x:row r="38" ht="30" customHeight="1">
      <x:c r="A38" s="18" t="str">
        <x:v>BR|es</x:v>
      </x:c>
      <x:c r="B38" s="18" t="str">
        <x:v>Brazil</x:v>
      </x:c>
      <x:c r="C38" s="18" t="str">
        <x:v>BR</x:v>
      </x:c>
      <x:c r="D38" s="18" t="str">
        <x:v>brazil</x:v>
      </x:c>
      <x:c r="E38" s="18" t="str">
        <x:v>es</x:v>
      </x:c>
      <x:c r="F38" s="18" t="str">
        <x:v>es-BR</x:v>
      </x:c>
      <x:c r="G38" s="18" t="str">
        <x:v>pt</x:v>
      </x:c>
      <x:c r="H38" s="18" t="str">
        <x:v>No</x:v>
      </x:c>
      <x:c r="I38" s="18" t="str">
        <x:v>/brazil/es</x:v>
      </x:c>
      <x:c r="J38" s="18" t="str">
        <x:v>America/Sao_Paulo</x:v>
      </x:c>
      <x:c r="K38" s="18" t="str">
        <x:v>Configured; publication unverified</x:v>
      </x:c>
      <x:c r="L38" s="18" t="str">
        <x:v>https://github.com/myglobalhealthonline/global-health-website/blob/main/frontend/data/countries.ts</x:v>
      </x:c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8d2dbfd89c114b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6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34" customHeight="1">
      <x:c r="A1" s="3" t="str">
        <x:v>DATA ACCESS</x:v>
      </x:c>
      <x:c r="B1" s="3"/>
      <x:c r="C1" s="3"/>
      <x:c r="D1" s="3"/>
      <x:c r="E1" s="3"/>
      <x:c r="F1" s="3"/>
      <x:c r="G1" s="3"/>
      <x:c r="H1" s="3"/>
    </x:row>
    <x:row r="2" ht="23" customHeight="1">
      <x:c r="A2" s="7" t="str">
        <x:v>Access inventory, not a claim that all reported integrations are currently authenticated.</x:v>
      </x:c>
      <x:c r="B2" s="7"/>
      <x:c r="C2" s="7"/>
      <x:c r="D2" s="7"/>
      <x:c r="E2" s="7"/>
      <x:c r="F2" s="7"/>
      <x:c r="G2" s="7"/>
      <x:c r="H2" s="7"/>
    </x:row>
    <x:row r="3" ht="23" customHeight="1">
      <x:c r="A3" s="7"/>
      <x:c r="B3" s="7"/>
      <x:c r="C3" s="7"/>
      <x:c r="D3" s="7"/>
      <x:c r="E3" s="7"/>
      <x:c r="F3" s="7"/>
      <x:c r="G3" s="7"/>
      <x:c r="H3" s="7"/>
    </x:row>
    <x:row r="5" ht="32" customHeight="1">
      <x:c r="A5" s="12" t="str">
        <x:v>source</x:v>
      </x:c>
      <x:c r="B5" s="12" t="str">
        <x:v>property_or_scope</x:v>
      </x:c>
      <x:c r="C5" s="12" t="str">
        <x:v>current_session_status</x:v>
      </x:c>
      <x:c r="D5" s="12" t="str">
        <x:v>last_documented_check</x:v>
      </x:c>
      <x:c r="E5" s="12" t="str">
        <x:v>required_read_check</x:v>
      </x:c>
      <x:c r="F5" s="12" t="str">
        <x:v>data_limit_or_risk</x:v>
      </x:c>
      <x:c r="G5" s="12" t="str">
        <x:v>next_action</x:v>
      </x:c>
      <x:c r="H5" s="12" t="str">
        <x:v>source_url</x:v>
      </x:c>
    </x:row>
    <x:row r="6" ht="72" customHeight="1">
      <x:c r="A6" s="18" t="str">
        <x:v>GitHub</x:v>
      </x:c>
      <x:c r="B6" s="18" t="str">
        <x:v>myglobalhealthonline/global-health-website</x:v>
      </x:c>
      <x:c r="C6" s="18" t="str">
        <x:v>Read verified</x:v>
      </x:c>
      <x:c r="D6" s="22" t="n">
        <x:v>46280</x:v>
      </x:c>
      <x:c r="E6" s="18" t="str">
        <x:v>Pin audited commit and compare deployed revision</x:v>
      </x:c>
      <x:c r="F6" s="18" t="str">
        <x:v>Selected files only; not a full code audit</x:v>
      </x:c>
      <x:c r="G6" s="18" t="str">
        <x:v>Read canonical ledger and current country evidence</x:v>
      </x:c>
      <x:c r="H6" s="18" t="str">
        <x:v>https://github.com/myglobalhealthonline/global-health-website/blob/main/seo/README.md</x:v>
      </x:c>
    </x:row>
    <x:row r="7" ht="72" customHeight="1">
      <x:c r="A7" s="18" t="str">
        <x:v>Live website</x:v>
      </x:c>
      <x:c r="B7" s="18" t="str">
        <x:v>myglobalhealth.online and www variant</x:v>
      </x:c>
      <x:c r="C7" s="18" t="str">
        <x:v>Partial text read</x:v>
      </x:c>
      <x:c r="D7" s="22" t="n">
        <x:v>46280</x:v>
      </x:c>
      <x:c r="E7" s="18" t="str">
        <x:v>HTTP headers + rendered DOM + sitemap + host redirect checks</x:v>
      </x:c>
      <x:c r="F7" s="18" t="str">
        <x:v>Ireland text available; sitemap/robots retrieval failed in this environment</x:v>
      </x:c>
      <x:c r="G7" s="18" t="str">
        <x:v>Use browser/crawler in the connected audit runtime</x:v>
      </x:c>
      <x:c r="H7" s="18" t="str">
        <x:v>https://www.myglobalhealth.online/ireland/en</x:v>
      </x:c>
    </x:row>
    <x:row r="8" ht="72" customHeight="1">
      <x:c r="A8" s="18" t="str">
        <x:v>Google Search Console</x:v>
      </x:c>
      <x:c r="B8" s="18" t="str">
        <x:v>sc-domain:myglobalhealth.online</x:v>
      </x:c>
      <x:c r="C8" s="18" t="str">
        <x:v>Not queried</x:v>
      </x:c>
      <x:c r="D8" s="22" t="n">
        <x:v>46274</x:v>
      </x:c>
      <x:c r="E8" s="18" t="str">
        <x:v>List property; read small dated report; inspect sample URL</x:v>
      </x:c>
      <x:c r="F8" s="18" t="str">
        <x:v>Historical browser access is not proof of current API access</x:v>
      </x:c>
      <x:c r="G8" s="18" t="str">
        <x:v>Verify OAuth/OpenSEO property permissions</x:v>
      </x:c>
      <x:c r="H8" s="18" t="str">
        <x:v>https://github.com/myglobalhealthonline/global-health-website/blob/main/docs/audits/seo/google-access-review-2026-09-09.md</x:v>
      </x:c>
    </x:row>
    <x:row r="9" ht="72" customHeight="1">
      <x:c r="A9" s="18" t="str">
        <x:v>GA4</x:v>
      </x:c>
      <x:c r="B9" s="18" t="str">
        <x:v>547083375; expected stream G-SP48D9LJJ5</x:v>
      </x:c>
      <x:c r="C9" s="18" t="str">
        <x:v>Not queried</x:v>
      </x:c>
      <x:c r="D9" s="22" t="n">
        <x:v>46274</x:v>
      </x:c>
      <x:c r="E9" s="18" t="str">
        <x:v>Confirm property, stream, timezone and small report</x:v>
      </x:c>
      <x:c r="F9" s="18" t="str">
        <x:v>Repo reports collection gap 2026-08-02 through 2026-09-08</x:v>
      </x:c>
      <x:c r="G9" s="18" t="str">
        <x:v>Check restored collection and actual event delivery</x:v>
      </x:c>
      <x:c r="H9" s="18" t="str">
        <x:v>https://github.com/myglobalhealthonline/global-health-website/blob/main/CLAUDE.md</x:v>
      </x:c>
    </x:row>
    <x:row r="10" ht="72" customHeight="1">
      <x:c r="A10" s="18" t="str">
        <x:v>OpenSEO</x:v>
      </x:c>
      <x:c r="B10" s="18" t="str">
        <x:v>Existing project / MCP server</x:v>
      </x:c>
      <x:c r="C10" s="18" t="str">
        <x:v>Not queried</x:v>
      </x:c>
      <x:c r="D10" s="22"/>
      <x:c r="E10" s="18" t="str">
        <x:v>Discover tools; confirm exact project and country/language parameters</x:v>
      </x:c>
      <x:c r="F10" s="18" t="str">
        <x:v>Do not assume every provider has backlinks, volume, GSC and GA4</x:v>
      </x:c>
      <x:c r="G10" s="18" t="str">
        <x:v>Use existing connection in Codex/Claude runtime; log credits</x:v>
      </x:c>
      <x:c r="H10" s="18" t="str">
        <x:v>https://openseo.so/features/mcp</x:v>
      </x:c>
    </x:row>
    <x:row r="11" ht="72" customHeight="1">
      <x:c r="A11" s="18" t="str">
        <x:v>CB Server</x:v>
      </x:c>
      <x:c r="B11" s="18" t="str">
        <x:v>User's stated integration name</x:v>
      </x:c>
      <x:c r="C11" s="18" t="str">
        <x:v>Unresolved</x:v>
      </x:c>
      <x:c r="D11" s="22"/>
      <x:c r="E11" s="18" t="str">
        <x:v>Discover exact provider/server; verify whether MCP was intended</x:v>
      </x:c>
      <x:c r="F11" s="18" t="str">
        <x:v>Do not guess endpoint, capability or authentication</x:v>
      </x:c>
      <x:c r="G11" s="18" t="str">
        <x:v>Resolve from installed runtime configuration without exposing secrets</x:v>
      </x:c>
      <x:c r="H11" s="18" t="str">
        <x:v>User brief, 2026-09-15</x:v>
      </x:c>
    </x:row>
    <x:row r="12" ht="72" customHeight="1">
      <x:c r="A12" s="18" t="str">
        <x:v>Public CMS/API/database</x:v>
      </x:c>
      <x:c r="B12" s="18" t="str">
        <x:v>Country, content and publication metadata</x:v>
      </x:c>
      <x:c r="C12" s="18" t="str">
        <x:v>Not accessed</x:v>
      </x:c>
      <x:c r="D12" s="22"/>
      <x:c r="E12" s="18" t="str">
        <x:v>Read-only content records and schemas only</x:v>
      </x:c>
      <x:c r="F12" s="18" t="str">
        <x:v>No patient records, consultations, identifiers or medical histories</x:v>
      </x:c>
      <x:c r="G12" s="18" t="str">
        <x:v>Map country + locale + entity + publication status</x:v>
      </x:c>
      <x:c r="H12" s="18" t="str">
        <x:v>https://github.com/myglobalhealthonline/global-health-website/blob/main/frontend/data/countries.ts</x:v>
      </x:c>
    </x:row>
    <x:row r="13" ht="72" customHeight="1">
      <x:c r="A13" s="18" t="str">
        <x:v>CrUX / PageSpeed</x:v>
      </x:c>
      <x:c r="B13" s="18" t="str">
        <x:v>Production URLs</x:v>
      </x:c>
      <x:c r="C13" s="18" t="str">
        <x:v>Not run</x:v>
      </x:c>
      <x:c r="D13" s="22"/>
      <x:c r="E13" s="18" t="str">
        <x:v>Retrieve field and lab evidence separately</x:v>
      </x:c>
      <x:c r="F13" s="18" t="str">
        <x:v>No CrUX data is unknown, not a failing score</x:v>
      </x:c>
      <x:c r="G13" s="18" t="str">
        <x:v>Test representative templates, mobile first</x:v>
      </x:c>
      <x:c r="H13" s="18" t="str">
        <x:v>https://github.com/myglobalhealthonline/global-health-website/blob/main/CLAUDE.md</x:v>
      </x:c>
    </x:row>
    <x:row r="14" ht="72" customHeight="1">
      <x:c r="A14" s="18" t="str">
        <x:v>Wix migration evidence</x:v>
      </x:c>
      <x:c r="B14" s="18" t="str">
        <x:v>Old URLs, exports, historic GSC</x:v>
      </x:c>
      <x:c r="C14" s="18" t="str">
        <x:v>Not retrieved</x:v>
      </x:c>
      <x:c r="D14" s="22"/>
      <x:c r="E14" s="18" t="str">
        <x:v>Recover old URL inventory and content identity</x:v>
      </x:c>
      <x:c r="F14" s="18" t="str">
        <x:v>Previous agency work cannot be inferred from current pages</x:v>
      </x:c>
      <x:c r="G14" s="18" t="str">
        <x:v>Combine legacy routes, exports, GSC and backlink targets</x:v>
      </x:c>
      <x:c r="H14" s="18" t="str">
        <x:v>https://github.com/myglobalhealthonline/global-health-website/blob/main/docs/plans/seo-handover-codex.md</x:v>
      </x:c>
    </x:row>
    <x:row r="15" ht="30" customHeight="1">
      <x:c r="A15" s="18"/>
      <x:c r="B15" s="18"/>
      <x:c r="C15" s="18"/>
      <x:c r="D15" s="22"/>
      <x:c r="E15" s="18"/>
      <x:c r="F15" s="18"/>
      <x:c r="G15" s="18"/>
      <x:c r="H15" s="18"/>
    </x:row>
    <x:row r="16" ht="30" customHeight="1">
      <x:c r="A16" s="18"/>
      <x:c r="B16" s="18"/>
      <x:c r="C16" s="18"/>
      <x:c r="D16" s="22"/>
      <x:c r="E16" s="18"/>
      <x:c r="F16" s="18"/>
      <x:c r="G16" s="18"/>
      <x:c r="H16" s="18"/>
    </x:row>
    <x:row r="17" ht="30" customHeight="1">
      <x:c r="A17" s="18"/>
      <x:c r="B17" s="18"/>
      <x:c r="C17" s="18"/>
      <x:c r="D17" s="22"/>
      <x:c r="E17" s="18"/>
      <x:c r="F17" s="18"/>
      <x:c r="G17" s="18"/>
      <x:c r="H17" s="18"/>
    </x:row>
    <x:row r="18" ht="30" customHeight="1">
      <x:c r="A18" s="18"/>
      <x:c r="B18" s="18"/>
      <x:c r="C18" s="18"/>
      <x:c r="D18" s="22"/>
      <x:c r="E18" s="18"/>
      <x:c r="F18" s="18"/>
      <x:c r="G18" s="18"/>
      <x:c r="H18" s="18"/>
    </x:row>
    <x:row r="19" ht="30" customHeight="1">
      <x:c r="A19" s="18"/>
      <x:c r="B19" s="18"/>
      <x:c r="C19" s="18"/>
      <x:c r="D19" s="22"/>
      <x:c r="E19" s="18"/>
      <x:c r="F19" s="18"/>
      <x:c r="G19" s="18"/>
      <x:c r="H19" s="18"/>
    </x:row>
    <x:row r="20" ht="30" customHeight="1">
      <x:c r="A20" s="18"/>
      <x:c r="B20" s="18"/>
      <x:c r="C20" s="18"/>
      <x:c r="D20" s="22"/>
      <x:c r="E20" s="18"/>
      <x:c r="F20" s="18"/>
      <x:c r="G20" s="18"/>
      <x:c r="H20" s="18"/>
    </x:row>
    <x:row r="21" ht="30" customHeight="1">
      <x:c r="A21" s="18"/>
      <x:c r="B21" s="18"/>
      <x:c r="C21" s="18"/>
      <x:c r="D21" s="22"/>
      <x:c r="E21" s="18"/>
      <x:c r="F21" s="18"/>
      <x:c r="G21" s="18"/>
      <x:c r="H21" s="18"/>
    </x:row>
    <x:row r="22" ht="30" customHeight="1">
      <x:c r="A22" s="18"/>
      <x:c r="B22" s="18"/>
      <x:c r="C22" s="18"/>
      <x:c r="D22" s="22"/>
      <x:c r="E22" s="18"/>
      <x:c r="F22" s="18"/>
      <x:c r="G22" s="18"/>
      <x:c r="H22" s="18"/>
    </x:row>
    <x:row r="23" ht="30" customHeight="1">
      <x:c r="A23" s="18"/>
      <x:c r="B23" s="18"/>
      <x:c r="C23" s="18"/>
      <x:c r="D23" s="22"/>
      <x:c r="E23" s="18"/>
      <x:c r="F23" s="18"/>
      <x:c r="G23" s="18"/>
      <x:c r="H23" s="18"/>
    </x:row>
    <x:row r="24" ht="30" customHeight="1">
      <x:c r="A24" s="18"/>
      <x:c r="B24" s="18"/>
      <x:c r="C24" s="18"/>
      <x:c r="D24" s="22"/>
      <x:c r="E24" s="18"/>
      <x:c r="F24" s="18"/>
      <x:c r="G24" s="18"/>
      <x:c r="H24" s="18"/>
    </x:row>
    <x:row r="25" ht="30" customHeight="1">
      <x:c r="A25" s="18"/>
      <x:c r="B25" s="18"/>
      <x:c r="C25" s="18"/>
      <x:c r="D25" s="22"/>
      <x:c r="E25" s="18"/>
      <x:c r="F25" s="18"/>
      <x:c r="G25" s="18"/>
      <x:c r="H25" s="18"/>
    </x:row>
    <x:row r="26" ht="30" customHeight="1">
      <x:c r="A26" s="18"/>
      <x:c r="B26" s="18"/>
      <x:c r="C26" s="18"/>
      <x:c r="D26" s="22"/>
      <x:c r="E26" s="18"/>
      <x:c r="F26" s="18"/>
      <x:c r="G26" s="18"/>
      <x:c r="H26" s="18"/>
    </x:row>
    <x:row r="27" ht="30" customHeight="1">
      <x:c r="A27" s="18"/>
      <x:c r="B27" s="18"/>
      <x:c r="C27" s="18"/>
      <x:c r="D27" s="22"/>
      <x:c r="E27" s="18"/>
      <x:c r="F27" s="18"/>
      <x:c r="G27" s="18"/>
      <x:c r="H27" s="18"/>
    </x:row>
    <x:row r="28" ht="30" customHeight="1">
      <x:c r="A28" s="18"/>
      <x:c r="B28" s="18"/>
      <x:c r="C28" s="18"/>
      <x:c r="D28" s="22"/>
      <x:c r="E28" s="18"/>
      <x:c r="F28" s="18"/>
      <x:c r="G28" s="18"/>
      <x:c r="H28" s="18"/>
    </x:row>
    <x:row r="29" ht="30" customHeight="1">
      <x:c r="A29" s="18"/>
      <x:c r="B29" s="18"/>
      <x:c r="C29" s="18"/>
      <x:c r="D29" s="22"/>
      <x:c r="E29" s="18"/>
      <x:c r="F29" s="18"/>
      <x:c r="G29" s="18"/>
      <x:c r="H29" s="18"/>
    </x:row>
    <x:row r="30" ht="30" customHeight="1">
      <x:c r="A30" s="18"/>
      <x:c r="B30" s="18"/>
      <x:c r="C30" s="18"/>
      <x:c r="D30" s="22"/>
      <x:c r="E30" s="18"/>
      <x:c r="F30" s="18"/>
      <x:c r="G30" s="18"/>
      <x:c r="H30" s="18"/>
    </x:row>
    <x:row r="31" ht="30" customHeight="1">
      <x:c r="A31" s="18"/>
      <x:c r="B31" s="18"/>
      <x:c r="C31" s="18"/>
      <x:c r="D31" s="22"/>
      <x:c r="E31" s="18"/>
      <x:c r="F31" s="18"/>
      <x:c r="G31" s="18"/>
      <x:c r="H31" s="18"/>
    </x:row>
    <x:row r="32" ht="30" customHeight="1">
      <x:c r="A32" s="18"/>
      <x:c r="B32" s="18"/>
      <x:c r="C32" s="18"/>
      <x:c r="D32" s="22"/>
      <x:c r="E32" s="18"/>
      <x:c r="F32" s="18"/>
      <x:c r="G32" s="18"/>
      <x:c r="H32" s="18"/>
    </x:row>
    <x:row r="33" ht="30" customHeight="1">
      <x:c r="A33" s="18"/>
      <x:c r="B33" s="18"/>
      <x:c r="C33" s="18"/>
      <x:c r="D33" s="22"/>
      <x:c r="E33" s="18"/>
      <x:c r="F33" s="18"/>
      <x:c r="G33" s="18"/>
      <x:c r="H33" s="18"/>
    </x:row>
    <x:row r="34" ht="30" customHeight="1">
      <x:c r="A34" s="18"/>
      <x:c r="B34" s="18"/>
      <x:c r="C34" s="18"/>
      <x:c r="D34" s="22"/>
      <x:c r="E34" s="18"/>
      <x:c r="F34" s="18"/>
      <x:c r="G34" s="18"/>
      <x:c r="H34" s="18"/>
    </x:row>
    <x:row r="35" ht="30" customHeight="1">
      <x:c r="A35" s="18"/>
      <x:c r="B35" s="18"/>
      <x:c r="C35" s="18"/>
      <x:c r="D35" s="22"/>
      <x:c r="E35" s="18"/>
      <x:c r="F35" s="18"/>
      <x:c r="G35" s="18"/>
      <x:c r="H35" s="18"/>
    </x:row>
    <x:row r="36" ht="30" customHeight="1">
      <x:c r="A36" s="18"/>
      <x:c r="B36" s="18"/>
      <x:c r="C36" s="18"/>
      <x:c r="D36" s="22"/>
      <x:c r="E36" s="18"/>
      <x:c r="F36" s="18"/>
      <x:c r="G36" s="18"/>
      <x:c r="H36" s="18"/>
    </x:row>
    <x:row r="37" ht="30" customHeight="1">
      <x:c r="A37" s="18"/>
      <x:c r="B37" s="18"/>
      <x:c r="C37" s="18"/>
      <x:c r="D37" s="22"/>
      <x:c r="E37" s="18"/>
      <x:c r="F37" s="18"/>
      <x:c r="G37" s="18"/>
      <x:c r="H37" s="18"/>
    </x:row>
    <x:row r="38" ht="30" customHeight="1">
      <x:c r="A38" s="18"/>
      <x:c r="B38" s="18"/>
      <x:c r="C38" s="18"/>
      <x:c r="D38" s="22"/>
      <x:c r="E38" s="18"/>
      <x:c r="F38" s="18"/>
      <x:c r="G38" s="18"/>
      <x:c r="H38" s="18"/>
    </x:row>
    <x:row r="39" ht="30" customHeight="1">
      <x:c r="A39" s="18"/>
      <x:c r="B39" s="18"/>
      <x:c r="C39" s="18"/>
      <x:c r="D39" s="22"/>
      <x:c r="E39" s="18"/>
      <x:c r="F39" s="18"/>
      <x:c r="G39" s="18"/>
      <x:c r="H39" s="18"/>
    </x:row>
    <x:row r="40" ht="30" customHeight="1">
      <x:c r="A40" s="18"/>
      <x:c r="B40" s="18"/>
      <x:c r="C40" s="18"/>
      <x:c r="D40" s="22"/>
      <x:c r="E40" s="18"/>
      <x:c r="F40" s="18"/>
      <x:c r="G40" s="18"/>
      <x:c r="H40" s="18"/>
    </x:row>
    <x:row r="41" ht="30" customHeight="1">
      <x:c r="A41" s="18"/>
      <x:c r="B41" s="18"/>
      <x:c r="C41" s="18"/>
      <x:c r="D41" s="22"/>
      <x:c r="E41" s="18"/>
      <x:c r="F41" s="18"/>
      <x:c r="G41" s="18"/>
      <x:c r="H41" s="18"/>
    </x:row>
    <x:row r="42" ht="30" customHeight="1">
      <x:c r="A42" s="18"/>
      <x:c r="B42" s="18"/>
      <x:c r="C42" s="18"/>
      <x:c r="D42" s="22"/>
      <x:c r="E42" s="18"/>
      <x:c r="F42" s="18"/>
      <x:c r="G42" s="18"/>
      <x:c r="H42" s="18"/>
    </x:row>
    <x:row r="43" ht="30" customHeight="1">
      <x:c r="A43" s="18"/>
      <x:c r="B43" s="18"/>
      <x:c r="C43" s="18"/>
      <x:c r="D43" s="22"/>
      <x:c r="E43" s="18"/>
      <x:c r="F43" s="18"/>
      <x:c r="G43" s="18"/>
      <x:c r="H43" s="18"/>
    </x:row>
    <x:row r="44" ht="30" customHeight="1">
      <x:c r="A44" s="18"/>
      <x:c r="B44" s="18"/>
      <x:c r="C44" s="18"/>
      <x:c r="D44" s="22"/>
      <x:c r="E44" s="18"/>
      <x:c r="F44" s="18"/>
      <x:c r="G44" s="18"/>
      <x:c r="H44" s="18"/>
    </x:row>
    <x:row r="45" ht="30" customHeight="1">
      <x:c r="A45" s="18"/>
      <x:c r="B45" s="18"/>
      <x:c r="C45" s="18"/>
      <x:c r="D45" s="22"/>
      <x:c r="E45" s="18"/>
      <x:c r="F45" s="18"/>
      <x:c r="G45" s="18"/>
      <x:c r="H45" s="18"/>
    </x:row>
    <x:row r="46" ht="30" customHeight="1">
      <x:c r="A46" s="18"/>
      <x:c r="B46" s="18"/>
      <x:c r="C46" s="18"/>
      <x:c r="D46" s="22"/>
      <x:c r="E46" s="18"/>
      <x:c r="F46" s="18"/>
      <x:c r="G46" s="18"/>
      <x:c r="H46" s="18"/>
    </x:row>
    <x:row r="47" ht="30" customHeight="1">
      <x:c r="A47" s="18"/>
      <x:c r="B47" s="18"/>
      <x:c r="C47" s="18"/>
      <x:c r="D47" s="22"/>
      <x:c r="E47" s="18"/>
      <x:c r="F47" s="18"/>
      <x:c r="G47" s="18"/>
      <x:c r="H47" s="18"/>
    </x:row>
    <x:row r="48" ht="30" customHeight="1">
      <x:c r="A48" s="18"/>
      <x:c r="B48" s="18"/>
      <x:c r="C48" s="18"/>
      <x:c r="D48" s="22"/>
      <x:c r="E48" s="18"/>
      <x:c r="F48" s="18"/>
      <x:c r="G48" s="18"/>
      <x:c r="H48" s="18"/>
    </x:row>
    <x:row r="49" ht="30" customHeight="1">
      <x:c r="A49" s="18"/>
      <x:c r="B49" s="18"/>
      <x:c r="C49" s="18"/>
      <x:c r="D49" s="22"/>
      <x:c r="E49" s="18"/>
      <x:c r="F49" s="18"/>
      <x:c r="G49" s="18"/>
      <x:c r="H49" s="18"/>
    </x:row>
    <x:row r="50" ht="30" customHeight="1">
      <x:c r="A50" s="18"/>
      <x:c r="B50" s="18"/>
      <x:c r="C50" s="18"/>
      <x:c r="D50" s="22"/>
      <x:c r="E50" s="18"/>
      <x:c r="F50" s="18"/>
      <x:c r="G50" s="18"/>
      <x:c r="H50" s="18"/>
    </x:row>
    <x:row r="51" ht="30" customHeight="1">
      <x:c r="A51" s="18"/>
      <x:c r="B51" s="18"/>
      <x:c r="C51" s="18"/>
      <x:c r="D51" s="22"/>
      <x:c r="E51" s="18"/>
      <x:c r="F51" s="18"/>
      <x:c r="G51" s="18"/>
      <x:c r="H51" s="18"/>
    </x:row>
    <x:row r="52" ht="30" customHeight="1">
      <x:c r="A52" s="18"/>
      <x:c r="B52" s="18"/>
      <x:c r="C52" s="18"/>
      <x:c r="D52" s="22"/>
      <x:c r="E52" s="18"/>
      <x:c r="F52" s="18"/>
      <x:c r="G52" s="18"/>
      <x:c r="H52" s="18"/>
    </x:row>
    <x:row r="53" ht="30" customHeight="1">
      <x:c r="A53" s="18"/>
      <x:c r="B53" s="18"/>
      <x:c r="C53" s="18"/>
      <x:c r="D53" s="22"/>
      <x:c r="E53" s="18"/>
      <x:c r="F53" s="18"/>
      <x:c r="G53" s="18"/>
      <x:c r="H53" s="18"/>
    </x:row>
    <x:row r="54" ht="30" customHeight="1">
      <x:c r="A54" s="18"/>
      <x:c r="B54" s="18"/>
      <x:c r="C54" s="18"/>
      <x:c r="D54" s="22"/>
      <x:c r="E54" s="18"/>
      <x:c r="F54" s="18"/>
      <x:c r="G54" s="18"/>
      <x:c r="H54" s="18"/>
    </x:row>
    <x:row r="55" ht="30" customHeight="1">
      <x:c r="A55" s="18"/>
      <x:c r="B55" s="18"/>
      <x:c r="C55" s="18"/>
      <x:c r="D55" s="22"/>
      <x:c r="E55" s="18"/>
      <x:c r="F55" s="18"/>
      <x:c r="G55" s="18"/>
      <x:c r="H55" s="18"/>
    </x:row>
    <x:row r="56" ht="30" customHeight="1">
      <x:c r="A56" s="18"/>
      <x:c r="B56" s="18"/>
      <x:c r="C56" s="18"/>
      <x:c r="D56" s="22"/>
      <x:c r="E56" s="18"/>
      <x:c r="F56" s="18"/>
      <x:c r="G56" s="18"/>
      <x:c r="H56" s="18"/>
    </x:row>
    <x:row r="57" ht="30" customHeight="1">
      <x:c r="A57" s="18"/>
      <x:c r="B57" s="18"/>
      <x:c r="C57" s="18"/>
      <x:c r="D57" s="22"/>
      <x:c r="E57" s="18"/>
      <x:c r="F57" s="18"/>
      <x:c r="G57" s="18"/>
      <x:c r="H57" s="18"/>
    </x:row>
    <x:row r="58" ht="30" customHeight="1">
      <x:c r="A58" s="18"/>
      <x:c r="B58" s="18"/>
      <x:c r="C58" s="18"/>
      <x:c r="D58" s="22"/>
      <x:c r="E58" s="18"/>
      <x:c r="F58" s="18"/>
      <x:c r="G58" s="18"/>
      <x:c r="H58" s="18"/>
    </x:row>
    <x:row r="59" ht="30" customHeight="1">
      <x:c r="A59" s="18"/>
      <x:c r="B59" s="18"/>
      <x:c r="C59" s="18"/>
      <x:c r="D59" s="22"/>
      <x:c r="E59" s="18"/>
      <x:c r="F59" s="18"/>
      <x:c r="G59" s="18"/>
      <x:c r="H59" s="18"/>
    </x:row>
    <x:row r="60" ht="30" customHeight="1">
      <x:c r="A60" s="18"/>
      <x:c r="B60" s="18"/>
      <x:c r="C60" s="18"/>
      <x:c r="D60" s="22"/>
      <x:c r="E60" s="18"/>
      <x:c r="F60" s="18"/>
      <x:c r="G60" s="18"/>
      <x:c r="H60" s="18"/>
    </x:row>
    <x:row r="61" ht="30" customHeight="1">
      <x:c r="A61" s="18"/>
      <x:c r="B61" s="18"/>
      <x:c r="C61" s="18"/>
      <x:c r="D61" s="22"/>
      <x:c r="E61" s="18"/>
      <x:c r="F61" s="18"/>
      <x:c r="G61" s="18"/>
      <x:c r="H61" s="18"/>
    </x:row>
    <x:row r="62" ht="30" customHeight="1">
      <x:c r="A62" s="18"/>
      <x:c r="B62" s="18"/>
      <x:c r="C62" s="18"/>
      <x:c r="D62" s="22"/>
      <x:c r="E62" s="18"/>
      <x:c r="F62" s="18"/>
      <x:c r="G62" s="18"/>
      <x:c r="H62" s="18"/>
    </x:row>
    <x:row r="63" ht="30" customHeight="1">
      <x:c r="A63" s="18"/>
      <x:c r="B63" s="18"/>
      <x:c r="C63" s="18"/>
      <x:c r="D63" s="22"/>
      <x:c r="E63" s="18"/>
      <x:c r="F63" s="18"/>
      <x:c r="G63" s="18"/>
      <x:c r="H63" s="18"/>
    </x:row>
    <x:row r="64" ht="30" customHeight="1">
      <x:c r="A64" s="18"/>
      <x:c r="B64" s="18"/>
      <x:c r="C64" s="18"/>
      <x:c r="D64" s="22"/>
      <x:c r="E64" s="18"/>
      <x:c r="F64" s="18"/>
      <x:c r="G64" s="18"/>
      <x:c r="H64" s="18"/>
    </x:row>
    <x:row r="65" ht="30" customHeight="1">
      <x:c r="A65" s="18"/>
      <x:c r="B65" s="18"/>
      <x:c r="C65" s="18"/>
      <x:c r="D65" s="22"/>
      <x:c r="E65" s="18"/>
      <x:c r="F65" s="18"/>
      <x:c r="G65" s="18"/>
      <x:c r="H65" s="18"/>
    </x:row>
    <x:row r="66" ht="30" customHeight="1">
      <x:c r="A66" s="18"/>
      <x:c r="B66" s="18"/>
      <x:c r="C66" s="18"/>
      <x:c r="D66" s="22"/>
      <x:c r="E66" s="18"/>
      <x:c r="F66" s="18"/>
      <x:c r="G66" s="18"/>
      <x:c r="H66" s="18"/>
    </x:row>
    <x:row r="67" ht="30" customHeight="1">
      <x:c r="A67" s="18"/>
      <x:c r="B67" s="18"/>
      <x:c r="C67" s="18"/>
      <x:c r="D67" s="22"/>
      <x:c r="E67" s="18"/>
      <x:c r="F67" s="18"/>
      <x:c r="G67" s="18"/>
      <x:c r="H67" s="18"/>
    </x:row>
    <x:row r="68" ht="30" customHeight="1">
      <x:c r="A68" s="18"/>
      <x:c r="B68" s="18"/>
      <x:c r="C68" s="18"/>
      <x:c r="D68" s="22"/>
      <x:c r="E68" s="18"/>
      <x:c r="F68" s="18"/>
      <x:c r="G68" s="18"/>
      <x:c r="H68" s="18"/>
    </x:row>
    <x:row r="69" ht="30" customHeight="1">
      <x:c r="A69" s="18"/>
      <x:c r="B69" s="18"/>
      <x:c r="C69" s="18"/>
      <x:c r="D69" s="22"/>
      <x:c r="E69" s="18"/>
      <x:c r="F69" s="18"/>
      <x:c r="G69" s="18"/>
      <x:c r="H69" s="18"/>
    </x:row>
    <x:row r="70" ht="30" customHeight="1">
      <x:c r="A70" s="18"/>
      <x:c r="B70" s="18"/>
      <x:c r="C70" s="18"/>
      <x:c r="D70" s="22"/>
      <x:c r="E70" s="18"/>
      <x:c r="F70" s="18"/>
      <x:c r="G70" s="18"/>
      <x:c r="H70" s="18"/>
    </x:row>
    <x:row r="71" ht="30" customHeight="1">
      <x:c r="A71" s="18"/>
      <x:c r="B71" s="18"/>
      <x:c r="C71" s="18"/>
      <x:c r="D71" s="22"/>
      <x:c r="E71" s="18"/>
      <x:c r="F71" s="18"/>
      <x:c r="G71" s="18"/>
      <x:c r="H71" s="18"/>
    </x:row>
    <x:row r="72" ht="30" customHeight="1">
      <x:c r="A72" s="18"/>
      <x:c r="B72" s="18"/>
      <x:c r="C72" s="18"/>
      <x:c r="D72" s="22"/>
      <x:c r="E72" s="18"/>
      <x:c r="F72" s="18"/>
      <x:c r="G72" s="18"/>
      <x:c r="H72" s="18"/>
    </x:row>
    <x:row r="73" ht="30" customHeight="1">
      <x:c r="A73" s="18"/>
      <x:c r="B73" s="18"/>
      <x:c r="C73" s="18"/>
      <x:c r="D73" s="22"/>
      <x:c r="E73" s="18"/>
      <x:c r="F73" s="18"/>
      <x:c r="G73" s="18"/>
      <x:c r="H73" s="18"/>
    </x:row>
    <x:row r="74" ht="30" customHeight="1">
      <x:c r="A74" s="18"/>
      <x:c r="B74" s="18"/>
      <x:c r="C74" s="18"/>
      <x:c r="D74" s="22"/>
      <x:c r="E74" s="18"/>
      <x:c r="F74" s="18"/>
      <x:c r="G74" s="18"/>
      <x:c r="H74" s="18"/>
    </x:row>
    <x:row r="75" ht="30" customHeight="1">
      <x:c r="A75" s="18"/>
      <x:c r="B75" s="18"/>
      <x:c r="C75" s="18"/>
      <x:c r="D75" s="22"/>
      <x:c r="E75" s="18"/>
      <x:c r="F75" s="18"/>
      <x:c r="G75" s="18"/>
      <x:c r="H75" s="18"/>
    </x:row>
    <x:row r="76" ht="30" customHeight="1">
      <x:c r="A76" s="18"/>
      <x:c r="B76" s="18"/>
      <x:c r="C76" s="18"/>
      <x:c r="D76" s="22"/>
      <x:c r="E76" s="18"/>
      <x:c r="F76" s="18"/>
      <x:c r="G76" s="18"/>
      <x:c r="H76" s="18"/>
    </x:row>
    <x:row r="77" ht="30" customHeight="1">
      <x:c r="A77" s="18"/>
      <x:c r="B77" s="18"/>
      <x:c r="C77" s="18"/>
      <x:c r="D77" s="22"/>
      <x:c r="E77" s="18"/>
      <x:c r="F77" s="18"/>
      <x:c r="G77" s="18"/>
      <x:c r="H77" s="18"/>
    </x:row>
    <x:row r="78" ht="30" customHeight="1">
      <x:c r="A78" s="18"/>
      <x:c r="B78" s="18"/>
      <x:c r="C78" s="18"/>
      <x:c r="D78" s="22"/>
      <x:c r="E78" s="18"/>
      <x:c r="F78" s="18"/>
      <x:c r="G78" s="18"/>
      <x:c r="H78" s="18"/>
    </x:row>
    <x:row r="79" ht="30" customHeight="1">
      <x:c r="A79" s="18"/>
      <x:c r="B79" s="18"/>
      <x:c r="C79" s="18"/>
      <x:c r="D79" s="22"/>
      <x:c r="E79" s="18"/>
      <x:c r="F79" s="18"/>
      <x:c r="G79" s="18"/>
      <x:c r="H79" s="18"/>
    </x:row>
    <x:row r="80" ht="30" customHeight="1">
      <x:c r="A80" s="18"/>
      <x:c r="B80" s="18"/>
      <x:c r="C80" s="18"/>
      <x:c r="D80" s="22"/>
      <x:c r="E80" s="18"/>
      <x:c r="F80" s="18"/>
      <x:c r="G80" s="18"/>
      <x:c r="H80" s="18"/>
    </x:row>
    <x:row r="81" ht="30" customHeight="1">
      <x:c r="A81" s="18"/>
      <x:c r="B81" s="18"/>
      <x:c r="C81" s="18"/>
      <x:c r="D81" s="22"/>
      <x:c r="E81" s="18"/>
      <x:c r="F81" s="18"/>
      <x:c r="G81" s="18"/>
      <x:c r="H81" s="18"/>
    </x:row>
    <x:row r="82" ht="30" customHeight="1">
      <x:c r="A82" s="18"/>
      <x:c r="B82" s="18"/>
      <x:c r="C82" s="18"/>
      <x:c r="D82" s="22"/>
      <x:c r="E82" s="18"/>
      <x:c r="F82" s="18"/>
      <x:c r="G82" s="18"/>
      <x:c r="H82" s="18"/>
    </x:row>
    <x:row r="83" ht="30" customHeight="1">
      <x:c r="A83" s="18"/>
      <x:c r="B83" s="18"/>
      <x:c r="C83" s="18"/>
      <x:c r="D83" s="22"/>
      <x:c r="E83" s="18"/>
      <x:c r="F83" s="18"/>
      <x:c r="G83" s="18"/>
      <x:c r="H83" s="18"/>
    </x:row>
    <x:row r="84" ht="30" customHeight="1">
      <x:c r="A84" s="18"/>
      <x:c r="B84" s="18"/>
      <x:c r="C84" s="18"/>
      <x:c r="D84" s="22"/>
      <x:c r="E84" s="18"/>
      <x:c r="F84" s="18"/>
      <x:c r="G84" s="18"/>
      <x:c r="H84" s="18"/>
    </x:row>
    <x:row r="85" ht="30" customHeight="1">
      <x:c r="A85" s="18"/>
      <x:c r="B85" s="18"/>
      <x:c r="C85" s="18"/>
      <x:c r="D85" s="22"/>
      <x:c r="E85" s="18"/>
      <x:c r="F85" s="18"/>
      <x:c r="G85" s="18"/>
      <x:c r="H85" s="18"/>
    </x:row>
    <x:row r="86" ht="30" customHeight="1">
      <x:c r="A86" s="18"/>
      <x:c r="B86" s="18"/>
      <x:c r="C86" s="18"/>
      <x:c r="D86" s="22"/>
      <x:c r="E86" s="18"/>
      <x:c r="F86" s="18"/>
      <x:c r="G86" s="18"/>
      <x:c r="H86" s="18"/>
    </x:row>
    <x:row r="87" ht="30" customHeight="1">
      <x:c r="A87" s="18"/>
      <x:c r="B87" s="18"/>
      <x:c r="C87" s="18"/>
      <x:c r="D87" s="22"/>
      <x:c r="E87" s="18"/>
      <x:c r="F87" s="18"/>
      <x:c r="G87" s="18"/>
      <x:c r="H87" s="18"/>
    </x:row>
    <x:row r="88" ht="30" customHeight="1">
      <x:c r="A88" s="18"/>
      <x:c r="B88" s="18"/>
      <x:c r="C88" s="18"/>
      <x:c r="D88" s="22"/>
      <x:c r="E88" s="18"/>
      <x:c r="F88" s="18"/>
      <x:c r="G88" s="18"/>
      <x:c r="H88" s="18"/>
    </x:row>
    <x:row r="89" ht="30" customHeight="1">
      <x:c r="A89" s="18"/>
      <x:c r="B89" s="18"/>
      <x:c r="C89" s="18"/>
      <x:c r="D89" s="22"/>
      <x:c r="E89" s="18"/>
      <x:c r="F89" s="18"/>
      <x:c r="G89" s="18"/>
      <x:c r="H89" s="18"/>
    </x:row>
    <x:row r="90" ht="30" customHeight="1">
      <x:c r="A90" s="18"/>
      <x:c r="B90" s="18"/>
      <x:c r="C90" s="18"/>
      <x:c r="D90" s="22"/>
      <x:c r="E90" s="18"/>
      <x:c r="F90" s="18"/>
      <x:c r="G90" s="18"/>
      <x:c r="H90" s="18"/>
    </x:row>
    <x:row r="91" ht="30" customHeight="1">
      <x:c r="A91" s="18"/>
      <x:c r="B91" s="18"/>
      <x:c r="C91" s="18"/>
      <x:c r="D91" s="22"/>
      <x:c r="E91" s="18"/>
      <x:c r="F91" s="18"/>
      <x:c r="G91" s="18"/>
      <x:c r="H91" s="18"/>
    </x:row>
    <x:row r="92" ht="30" customHeight="1">
      <x:c r="A92" s="18"/>
      <x:c r="B92" s="18"/>
      <x:c r="C92" s="18"/>
      <x:c r="D92" s="22"/>
      <x:c r="E92" s="18"/>
      <x:c r="F92" s="18"/>
      <x:c r="G92" s="18"/>
      <x:c r="H92" s="18"/>
    </x:row>
    <x:row r="93" ht="30" customHeight="1">
      <x:c r="A93" s="18"/>
      <x:c r="B93" s="18"/>
      <x:c r="C93" s="18"/>
      <x:c r="D93" s="22"/>
      <x:c r="E93" s="18"/>
      <x:c r="F93" s="18"/>
      <x:c r="G93" s="18"/>
      <x:c r="H93" s="18"/>
    </x:row>
    <x:row r="94" ht="30" customHeight="1">
      <x:c r="A94" s="18"/>
      <x:c r="B94" s="18"/>
      <x:c r="C94" s="18"/>
      <x:c r="D94" s="22"/>
      <x:c r="E94" s="18"/>
      <x:c r="F94" s="18"/>
      <x:c r="G94" s="18"/>
      <x:c r="H94" s="18"/>
    </x:row>
    <x:row r="95" ht="30" customHeight="1">
      <x:c r="A95" s="18"/>
      <x:c r="B95" s="18"/>
      <x:c r="C95" s="18"/>
      <x:c r="D95" s="22"/>
      <x:c r="E95" s="18"/>
      <x:c r="F95" s="18"/>
      <x:c r="G95" s="18"/>
      <x:c r="H95" s="18"/>
    </x:row>
    <x:row r="96" ht="30" customHeight="1">
      <x:c r="A96" s="18"/>
      <x:c r="B96" s="18"/>
      <x:c r="C96" s="18"/>
      <x:c r="D96" s="22"/>
      <x:c r="E96" s="18"/>
      <x:c r="F96" s="18"/>
      <x:c r="G96" s="18"/>
      <x:c r="H96" s="18"/>
    </x:row>
    <x:row r="97" ht="30" customHeight="1">
      <x:c r="A97" s="18"/>
      <x:c r="B97" s="18"/>
      <x:c r="C97" s="18"/>
      <x:c r="D97" s="22"/>
      <x:c r="E97" s="18"/>
      <x:c r="F97" s="18"/>
      <x:c r="G97" s="18"/>
      <x:c r="H97" s="18"/>
    </x:row>
    <x:row r="98" ht="30" customHeight="1">
      <x:c r="A98" s="18"/>
      <x:c r="B98" s="18"/>
      <x:c r="C98" s="18"/>
      <x:c r="D98" s="22"/>
      <x:c r="E98" s="18"/>
      <x:c r="F98" s="18"/>
      <x:c r="G98" s="18"/>
      <x:c r="H98" s="18"/>
    </x:row>
    <x:row r="99" ht="30" customHeight="1">
      <x:c r="A99" s="18"/>
      <x:c r="B99" s="18"/>
      <x:c r="C99" s="18"/>
      <x:c r="D99" s="22"/>
      <x:c r="E99" s="18"/>
      <x:c r="F99" s="18"/>
      <x:c r="G99" s="18"/>
      <x:c r="H99" s="18"/>
    </x:row>
    <x:row r="100" ht="30" customHeight="1">
      <x:c r="A100" s="18"/>
      <x:c r="B100" s="18"/>
      <x:c r="C100" s="18"/>
      <x:c r="D100" s="22"/>
      <x:c r="E100" s="18"/>
      <x:c r="F100" s="18"/>
      <x:c r="G100" s="18"/>
      <x:c r="H100" s="18"/>
    </x:row>
    <x:row r="101" ht="30" customHeight="1">
      <x:c r="A101" s="18"/>
      <x:c r="B101" s="18"/>
      <x:c r="C101" s="18"/>
      <x:c r="D101" s="22"/>
      <x:c r="E101" s="18"/>
      <x:c r="F101" s="18"/>
      <x:c r="G101" s="18"/>
      <x:c r="H101" s="18"/>
    </x:row>
    <x:row r="102" ht="30" customHeight="1">
      <x:c r="A102" s="18"/>
      <x:c r="B102" s="18"/>
      <x:c r="C102" s="18"/>
      <x:c r="D102" s="22"/>
      <x:c r="E102" s="18"/>
      <x:c r="F102" s="18"/>
      <x:c r="G102" s="18"/>
      <x:c r="H102" s="18"/>
    </x:row>
    <x:row r="103" ht="30" customHeight="1">
      <x:c r="A103" s="18"/>
      <x:c r="B103" s="18"/>
      <x:c r="C103" s="18"/>
      <x:c r="D103" s="22"/>
      <x:c r="E103" s="18"/>
      <x:c r="F103" s="18"/>
      <x:c r="G103" s="18"/>
      <x:c r="H103" s="18"/>
    </x:row>
    <x:row r="104" ht="30" customHeight="1">
      <x:c r="A104" s="18"/>
      <x:c r="B104" s="18"/>
      <x:c r="C104" s="18"/>
      <x:c r="D104" s="22"/>
      <x:c r="E104" s="18"/>
      <x:c r="F104" s="18"/>
      <x:c r="G104" s="18"/>
      <x:c r="H104" s="18"/>
    </x:row>
    <x:row r="105" ht="30" customHeight="1">
      <x:c r="A105" s="18"/>
      <x:c r="B105" s="18"/>
      <x:c r="C105" s="18"/>
      <x:c r="D105" s="22"/>
      <x:c r="E105" s="18"/>
      <x:c r="F105" s="18"/>
      <x:c r="G105" s="18"/>
      <x:c r="H105" s="18"/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6dfddf78054d46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38" hidden="0" customWidth="1"/>
    <x:col min="4" max="4" width="38" hidden="0" customWidth="1"/>
    <x:col min="5" max="5" width="18" hidden="0" customWidth="1"/>
    <x:col min="6" max="6" width="13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8" hidden="0" customWidth="1"/>
    <x:col min="19" max="19" width="38" hidden="0" customWidth="1"/>
  </x:cols>
  <x:sheetData>
    <x:row r="1" ht="34" customHeight="1">
      <x:c r="A1" s="3" t="str">
        <x:v>PAGE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Only six documented primary home routes are seeded. This is NOT the complete site inventory or a canonical-host verification.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url_id</x:v>
      </x:c>
      <x:c r="B5" s="12" t="str">
        <x:v>content_entity_id</x:v>
      </x:c>
      <x:c r="C5" s="12" t="str">
        <x:v>documented_url</x:v>
      </x:c>
      <x:c r="D5" s="12" t="str">
        <x:v>verified_canonical_url</x:v>
      </x:c>
      <x:c r="E5" s="12" t="str">
        <x:v>target_country</x:v>
      </x:c>
      <x:c r="F5" s="12" t="str">
        <x:v>language</x:v>
      </x:c>
      <x:c r="G5" s="12" t="str">
        <x:v>locale_tag</x:v>
      </x:c>
      <x:c r="H5" s="12" t="str">
        <x:v>page_type</x:v>
      </x:c>
      <x:c r="I5" s="12" t="str">
        <x:v>discovery_source</x:v>
      </x:c>
      <x:c r="J5" s="12" t="str">
        <x:v>inventory_state</x:v>
      </x:c>
      <x:c r="K5" s="12" t="str">
        <x:v>audit_state</x:v>
      </x:c>
      <x:c r="L5" s="12" t="str">
        <x:v>first_published</x:v>
      </x:c>
      <x:c r="M5" s="12" t="str">
        <x:v>source_file_or_model</x:v>
      </x:c>
      <x:c r="N5" s="12" t="str">
        <x:v>expected_indexability</x:v>
      </x:c>
      <x:c r="O5" s="12" t="str">
        <x:v>actual_indexability</x:v>
      </x:c>
      <x:c r="P5" s="12" t="str">
        <x:v>primary_keyword</x:v>
      </x:c>
      <x:c r="Q5" s="12" t="str">
        <x:v>owner</x:v>
      </x:c>
      <x:c r="R5" s="12" t="str">
        <x:v>last_checked</x:v>
      </x:c>
      <x:c r="S5" s="12" t="str">
        <x:v>evidence_url</x:v>
      </x:c>
    </x:row>
    <x:row r="6" ht="30" customHeight="1">
      <x:c r="A6" s="18" t="str">
        <x:v>HOME-IE</x:v>
      </x:c>
      <x:c r="B6" s="18" t="str">
        <x:v>home:IE</x:v>
      </x:c>
      <x:c r="C6" s="18" t="str">
        <x:v>https://myglobalhealth.online/ireland/en</x:v>
      </x:c>
      <x:c r="D6" s="18"/>
      <x:c r="E6" s="18" t="str">
        <x:v>Ireland</x:v>
      </x:c>
      <x:c r="F6" s="18" t="str">
        <x:v>en</x:v>
      </x:c>
      <x:c r="G6" s="18" t="str">
        <x:v>en-IE</x:v>
      </x:c>
      <x:c r="H6" s="18" t="str">
        <x:v>Market homepage</x:v>
      </x:c>
      <x:c r="I6" s="18" t="str">
        <x:v>seo/README.md</x:v>
      </x:c>
      <x:c r="J6" s="18" t="str">
        <x:v>Documented route</x:v>
      </x:c>
      <x:c r="K6" s="18" t="str">
        <x:v>Partial text check</x:v>
      </x:c>
      <x:c r="L6" s="22"/>
      <x:c r="M6" s="18"/>
      <x:c r="N6" s="18"/>
      <x:c r="O6" s="18"/>
      <x:c r="P6" s="18"/>
      <x:c r="Q6" s="18"/>
      <x:c r="R6" s="18"/>
      <x:c r="S6" s="18" t="str">
        <x:v>https://github.com/myglobalhealthonline/global-health-website/blob/main/seo/README.md</x:v>
      </x:c>
    </x:row>
    <x:row r="7" ht="30" customHeight="1">
      <x:c r="A7" s="18" t="str">
        <x:v>HOME-CZ</x:v>
      </x:c>
      <x:c r="B7" s="18" t="str">
        <x:v>home:CZ</x:v>
      </x:c>
      <x:c r="C7" s="18" t="str">
        <x:v>https://myglobalhealth.online/czechia/cs</x:v>
      </x:c>
      <x:c r="D7" s="18"/>
      <x:c r="E7" s="18" t="str">
        <x:v>Czechia</x:v>
      </x:c>
      <x:c r="F7" s="18" t="str">
        <x:v>cs</x:v>
      </x:c>
      <x:c r="G7" s="18" t="str">
        <x:v>cs-CZ</x:v>
      </x:c>
      <x:c r="H7" s="18" t="str">
        <x:v>Market homepage</x:v>
      </x:c>
      <x:c r="I7" s="18" t="str">
        <x:v>seo/README.md</x:v>
      </x:c>
      <x:c r="J7" s="18" t="str">
        <x:v>Documented route</x:v>
      </x:c>
      <x:c r="K7" s="18" t="str">
        <x:v>Not checked</x:v>
      </x:c>
      <x:c r="L7" s="22"/>
      <x:c r="M7" s="18"/>
      <x:c r="N7" s="18"/>
      <x:c r="O7" s="18"/>
      <x:c r="P7" s="18"/>
      <x:c r="Q7" s="18"/>
      <x:c r="R7" s="18"/>
      <x:c r="S7" s="18" t="str">
        <x:v>https://github.com/myglobalhealthonline/global-health-website/blob/main/seo/README.md</x:v>
      </x:c>
    </x:row>
    <x:row r="8" ht="30" customHeight="1">
      <x:c r="A8" s="18" t="str">
        <x:v>HOME-PT</x:v>
      </x:c>
      <x:c r="B8" s="18" t="str">
        <x:v>home:PT</x:v>
      </x:c>
      <x:c r="C8" s="18" t="str">
        <x:v>https://myglobalhealth.online/portugal/pt</x:v>
      </x:c>
      <x:c r="D8" s="18"/>
      <x:c r="E8" s="18" t="str">
        <x:v>Portugal</x:v>
      </x:c>
      <x:c r="F8" s="18" t="str">
        <x:v>pt</x:v>
      </x:c>
      <x:c r="G8" s="18" t="str">
        <x:v>pt-PT</x:v>
      </x:c>
      <x:c r="H8" s="18" t="str">
        <x:v>Market homepage</x:v>
      </x:c>
      <x:c r="I8" s="18" t="str">
        <x:v>seo/README.md</x:v>
      </x:c>
      <x:c r="J8" s="18" t="str">
        <x:v>Documented route</x:v>
      </x:c>
      <x:c r="K8" s="18" t="str">
        <x:v>Not checked</x:v>
      </x:c>
      <x:c r="L8" s="22"/>
      <x:c r="M8" s="18"/>
      <x:c r="N8" s="18"/>
      <x:c r="O8" s="18"/>
      <x:c r="P8" s="18"/>
      <x:c r="Q8" s="18"/>
      <x:c r="R8" s="18"/>
      <x:c r="S8" s="18" t="str">
        <x:v>https://github.com/myglobalhealthonline/global-health-website/blob/main/seo/README.md</x:v>
      </x:c>
    </x:row>
    <x:row r="9" ht="30" customHeight="1">
      <x:c r="A9" s="18" t="str">
        <x:v>HOME-ES</x:v>
      </x:c>
      <x:c r="B9" s="18" t="str">
        <x:v>home:ES</x:v>
      </x:c>
      <x:c r="C9" s="18" t="str">
        <x:v>https://myglobalhealth.online/spain/es</x:v>
      </x:c>
      <x:c r="D9" s="18"/>
      <x:c r="E9" s="18" t="str">
        <x:v>Spain</x:v>
      </x:c>
      <x:c r="F9" s="18" t="str">
        <x:v>es</x:v>
      </x:c>
      <x:c r="G9" s="18" t="str">
        <x:v>es-ES</x:v>
      </x:c>
      <x:c r="H9" s="18" t="str">
        <x:v>Market homepage</x:v>
      </x:c>
      <x:c r="I9" s="18" t="str">
        <x:v>seo/README.md</x:v>
      </x:c>
      <x:c r="J9" s="18" t="str">
        <x:v>Documented route</x:v>
      </x:c>
      <x:c r="K9" s="18" t="str">
        <x:v>Not checked</x:v>
      </x:c>
      <x:c r="L9" s="22"/>
      <x:c r="M9" s="18"/>
      <x:c r="N9" s="18"/>
      <x:c r="O9" s="18"/>
      <x:c r="P9" s="18"/>
      <x:c r="Q9" s="18"/>
      <x:c r="R9" s="18"/>
      <x:c r="S9" s="18" t="str">
        <x:v>https://github.com/myglobalhealthonline/global-health-website/blob/main/seo/README.md</x:v>
      </x:c>
    </x:row>
    <x:row r="10" ht="30" customHeight="1">
      <x:c r="A10" s="18" t="str">
        <x:v>HOME-RO</x:v>
      </x:c>
      <x:c r="B10" s="18" t="str">
        <x:v>home:RO</x:v>
      </x:c>
      <x:c r="C10" s="18" t="str">
        <x:v>https://myglobalhealth.online/romania/ro</x:v>
      </x:c>
      <x:c r="D10" s="18"/>
      <x:c r="E10" s="18" t="str">
        <x:v>Romania</x:v>
      </x:c>
      <x:c r="F10" s="18" t="str">
        <x:v>ro</x:v>
      </x:c>
      <x:c r="G10" s="18" t="str">
        <x:v>ro-RO</x:v>
      </x:c>
      <x:c r="H10" s="18" t="str">
        <x:v>Market homepage</x:v>
      </x:c>
      <x:c r="I10" s="18" t="str">
        <x:v>seo/README.md</x:v>
      </x:c>
      <x:c r="J10" s="18" t="str">
        <x:v>Documented route</x:v>
      </x:c>
      <x:c r="K10" s="18" t="str">
        <x:v>Not checked</x:v>
      </x:c>
      <x:c r="L10" s="22"/>
      <x:c r="M10" s="18"/>
      <x:c r="N10" s="18"/>
      <x:c r="O10" s="18"/>
      <x:c r="P10" s="18"/>
      <x:c r="Q10" s="18"/>
      <x:c r="R10" s="18"/>
      <x:c r="S10" s="18" t="str">
        <x:v>https://github.com/myglobalhealthonline/global-health-website/blob/main/seo/README.md</x:v>
      </x:c>
    </x:row>
    <x:row r="11" ht="30" customHeight="1">
      <x:c r="A11" s="18" t="str">
        <x:v>HOME-BR</x:v>
      </x:c>
      <x:c r="B11" s="18" t="str">
        <x:v>home:BR</x:v>
      </x:c>
      <x:c r="C11" s="18" t="str">
        <x:v>https://myglobalhealth.online/brazil/pt</x:v>
      </x:c>
      <x:c r="D11" s="18"/>
      <x:c r="E11" s="18" t="str">
        <x:v>Brazil</x:v>
      </x:c>
      <x:c r="F11" s="18" t="str">
        <x:v>pt</x:v>
      </x:c>
      <x:c r="G11" s="18" t="str">
        <x:v>pt-BR</x:v>
      </x:c>
      <x:c r="H11" s="18" t="str">
        <x:v>Market homepage</x:v>
      </x:c>
      <x:c r="I11" s="18" t="str">
        <x:v>seo/README.md</x:v>
      </x:c>
      <x:c r="J11" s="18" t="str">
        <x:v>Documented route</x:v>
      </x:c>
      <x:c r="K11" s="18" t="str">
        <x:v>Not checked</x:v>
      </x:c>
      <x:c r="L11" s="22"/>
      <x:c r="M11" s="18"/>
      <x:c r="N11" s="18"/>
      <x:c r="O11" s="18"/>
      <x:c r="P11" s="18"/>
      <x:c r="Q11" s="18"/>
      <x:c r="R11" s="18"/>
      <x:c r="S11" s="18" t="str">
        <x:v>https://github.com/myglobalhealthonline/global-health-website/blob/main/seo/README.md</x:v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22"/>
      <x:c r="M12" s="18"/>
      <x:c r="N12" s="18"/>
      <x:c r="O12" s="18"/>
      <x:c r="P12" s="18"/>
      <x:c r="Q12" s="18"/>
      <x:c r="R12" s="18"/>
      <x:c r="S12" s="18"/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22"/>
      <x:c r="M13" s="18"/>
      <x:c r="N13" s="18"/>
      <x:c r="O13" s="18"/>
      <x:c r="P13" s="18"/>
      <x:c r="Q13" s="18"/>
      <x:c r="R13" s="18"/>
      <x:c r="S13" s="18"/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22"/>
      <x:c r="M14" s="18"/>
      <x:c r="N14" s="18"/>
      <x:c r="O14" s="18"/>
      <x:c r="P14" s="18"/>
      <x:c r="Q14" s="18"/>
      <x:c r="R14" s="18"/>
      <x:c r="S14" s="18"/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22"/>
      <x:c r="M15" s="18"/>
      <x:c r="N15" s="18"/>
      <x:c r="O15" s="18"/>
      <x:c r="P15" s="18"/>
      <x:c r="Q15" s="18"/>
      <x:c r="R15" s="18"/>
      <x:c r="S15" s="18"/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22"/>
      <x:c r="M16" s="18"/>
      <x:c r="N16" s="18"/>
      <x:c r="O16" s="18"/>
      <x:c r="P16" s="18"/>
      <x:c r="Q16" s="18"/>
      <x:c r="R16" s="18"/>
      <x:c r="S16" s="18"/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22"/>
      <x:c r="M17" s="18"/>
      <x:c r="N17" s="18"/>
      <x:c r="O17" s="18"/>
      <x:c r="P17" s="18"/>
      <x:c r="Q17" s="18"/>
      <x:c r="R17" s="18"/>
      <x:c r="S17" s="18"/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22"/>
      <x:c r="M18" s="18"/>
      <x:c r="N18" s="18"/>
      <x:c r="O18" s="18"/>
      <x:c r="P18" s="18"/>
      <x:c r="Q18" s="18"/>
      <x:c r="R18" s="18"/>
      <x:c r="S18" s="18"/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22"/>
      <x:c r="M19" s="18"/>
      <x:c r="N19" s="18"/>
      <x:c r="O19" s="18"/>
      <x:c r="P19" s="18"/>
      <x:c r="Q19" s="18"/>
      <x:c r="R19" s="18"/>
      <x:c r="S19" s="18"/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22"/>
      <x:c r="M20" s="18"/>
      <x:c r="N20" s="18"/>
      <x:c r="O20" s="18"/>
      <x:c r="P20" s="18"/>
      <x:c r="Q20" s="18"/>
      <x:c r="R20" s="18"/>
      <x:c r="S20" s="18"/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22"/>
      <x:c r="M21" s="18"/>
      <x:c r="N21" s="18"/>
      <x:c r="O21" s="18"/>
      <x:c r="P21" s="18"/>
      <x:c r="Q21" s="18"/>
      <x:c r="R21" s="18"/>
      <x:c r="S21" s="18"/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22"/>
      <x:c r="M22" s="18"/>
      <x:c r="N22" s="18"/>
      <x:c r="O22" s="18"/>
      <x:c r="P22" s="18"/>
      <x:c r="Q22" s="18"/>
      <x:c r="R22" s="18"/>
      <x:c r="S22" s="18"/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22"/>
      <x:c r="M23" s="18"/>
      <x:c r="N23" s="18"/>
      <x:c r="O23" s="18"/>
      <x:c r="P23" s="18"/>
      <x:c r="Q23" s="18"/>
      <x:c r="R23" s="18"/>
      <x:c r="S23" s="18"/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22"/>
      <x:c r="M24" s="18"/>
      <x:c r="N24" s="18"/>
      <x:c r="O24" s="18"/>
      <x:c r="P24" s="18"/>
      <x:c r="Q24" s="18"/>
      <x:c r="R24" s="18"/>
      <x:c r="S24" s="18"/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22"/>
      <x:c r="M25" s="18"/>
      <x:c r="N25" s="18"/>
      <x:c r="O25" s="18"/>
      <x:c r="P25" s="18"/>
      <x:c r="Q25" s="18"/>
      <x:c r="R25" s="18"/>
      <x:c r="S25" s="18"/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22"/>
      <x:c r="M26" s="18"/>
      <x:c r="N26" s="18"/>
      <x:c r="O26" s="18"/>
      <x:c r="P26" s="18"/>
      <x:c r="Q26" s="18"/>
      <x:c r="R26" s="18"/>
      <x:c r="S26" s="18"/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22"/>
      <x:c r="M27" s="18"/>
      <x:c r="N27" s="18"/>
      <x:c r="O27" s="18"/>
      <x:c r="P27" s="18"/>
      <x:c r="Q27" s="18"/>
      <x:c r="R27" s="18"/>
      <x:c r="S27" s="18"/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22"/>
      <x:c r="M28" s="18"/>
      <x:c r="N28" s="18"/>
      <x:c r="O28" s="18"/>
      <x:c r="P28" s="18"/>
      <x:c r="Q28" s="18"/>
      <x:c r="R28" s="18"/>
      <x:c r="S28" s="18"/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22"/>
      <x:c r="M29" s="18"/>
      <x:c r="N29" s="18"/>
      <x:c r="O29" s="18"/>
      <x:c r="P29" s="18"/>
      <x:c r="Q29" s="18"/>
      <x:c r="R29" s="18"/>
      <x:c r="S29" s="18"/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22"/>
      <x:c r="M30" s="18"/>
      <x:c r="N30" s="18"/>
      <x:c r="O30" s="18"/>
      <x:c r="P30" s="18"/>
      <x:c r="Q30" s="18"/>
      <x:c r="R30" s="18"/>
      <x:c r="S30" s="18"/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22"/>
      <x:c r="M31" s="18"/>
      <x:c r="N31" s="18"/>
      <x:c r="O31" s="18"/>
      <x:c r="P31" s="18"/>
      <x:c r="Q31" s="18"/>
      <x:c r="R31" s="18"/>
      <x:c r="S31" s="18"/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22"/>
      <x:c r="M32" s="18"/>
      <x:c r="N32" s="18"/>
      <x:c r="O32" s="18"/>
      <x:c r="P32" s="18"/>
      <x:c r="Q32" s="18"/>
      <x:c r="R32" s="18"/>
      <x:c r="S32" s="18"/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22"/>
      <x:c r="M33" s="18"/>
      <x:c r="N33" s="18"/>
      <x:c r="O33" s="18"/>
      <x:c r="P33" s="18"/>
      <x:c r="Q33" s="18"/>
      <x:c r="R33" s="18"/>
      <x:c r="S33" s="18"/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22"/>
      <x:c r="M34" s="18"/>
      <x:c r="N34" s="18"/>
      <x:c r="O34" s="18"/>
      <x:c r="P34" s="18"/>
      <x:c r="Q34" s="18"/>
      <x:c r="R34" s="18"/>
      <x:c r="S34" s="18"/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22"/>
      <x:c r="M35" s="18"/>
      <x:c r="N35" s="18"/>
      <x:c r="O35" s="18"/>
      <x:c r="P35" s="18"/>
      <x:c r="Q35" s="18"/>
      <x:c r="R35" s="18"/>
      <x:c r="S35" s="18"/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22"/>
      <x:c r="M36" s="18"/>
      <x:c r="N36" s="18"/>
      <x:c r="O36" s="18"/>
      <x:c r="P36" s="18"/>
      <x:c r="Q36" s="18"/>
      <x:c r="R36" s="18"/>
      <x:c r="S36" s="18"/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22"/>
      <x:c r="M37" s="18"/>
      <x:c r="N37" s="18"/>
      <x:c r="O37" s="18"/>
      <x:c r="P37" s="18"/>
      <x:c r="Q37" s="18"/>
      <x:c r="R37" s="18"/>
      <x:c r="S37" s="18"/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22"/>
      <x:c r="M38" s="18"/>
      <x:c r="N38" s="18"/>
      <x:c r="O38" s="18"/>
      <x:c r="P38" s="18"/>
      <x:c r="Q38" s="18"/>
      <x:c r="R38" s="18"/>
      <x:c r="S38" s="18"/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22"/>
      <x:c r="M39" s="18"/>
      <x:c r="N39" s="18"/>
      <x:c r="O39" s="18"/>
      <x:c r="P39" s="18"/>
      <x:c r="Q39" s="18"/>
      <x:c r="R39" s="18"/>
      <x:c r="S39" s="18"/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22"/>
      <x:c r="M40" s="18"/>
      <x:c r="N40" s="18"/>
      <x:c r="O40" s="18"/>
      <x:c r="P40" s="18"/>
      <x:c r="Q40" s="18"/>
      <x:c r="R40" s="18"/>
      <x:c r="S40" s="18"/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22"/>
      <x:c r="M41" s="18"/>
      <x:c r="N41" s="18"/>
      <x:c r="O41" s="18"/>
      <x:c r="P41" s="18"/>
      <x:c r="Q41" s="18"/>
      <x:c r="R41" s="18"/>
      <x:c r="S41" s="18"/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22"/>
      <x:c r="M42" s="18"/>
      <x:c r="N42" s="18"/>
      <x:c r="O42" s="18"/>
      <x:c r="P42" s="18"/>
      <x:c r="Q42" s="18"/>
      <x:c r="R42" s="18"/>
      <x:c r="S42" s="18"/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22"/>
      <x:c r="M43" s="18"/>
      <x:c r="N43" s="18"/>
      <x:c r="O43" s="18"/>
      <x:c r="P43" s="18"/>
      <x:c r="Q43" s="18"/>
      <x:c r="R43" s="18"/>
      <x:c r="S43" s="18"/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22"/>
      <x:c r="M44" s="18"/>
      <x:c r="N44" s="18"/>
      <x:c r="O44" s="18"/>
      <x:c r="P44" s="18"/>
      <x:c r="Q44" s="18"/>
      <x:c r="R44" s="18"/>
      <x:c r="S44" s="18"/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22"/>
      <x:c r="M45" s="18"/>
      <x:c r="N45" s="18"/>
      <x:c r="O45" s="18"/>
      <x:c r="P45" s="18"/>
      <x:c r="Q45" s="18"/>
      <x:c r="R45" s="18"/>
      <x:c r="S45" s="18"/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22"/>
      <x:c r="M46" s="18"/>
      <x:c r="N46" s="18"/>
      <x:c r="O46" s="18"/>
      <x:c r="P46" s="18"/>
      <x:c r="Q46" s="18"/>
      <x:c r="R46" s="18"/>
      <x:c r="S46" s="18"/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22"/>
      <x:c r="M47" s="18"/>
      <x:c r="N47" s="18"/>
      <x:c r="O47" s="18"/>
      <x:c r="P47" s="18"/>
      <x:c r="Q47" s="18"/>
      <x:c r="R47" s="18"/>
      <x:c r="S47" s="18"/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22"/>
      <x:c r="M48" s="18"/>
      <x:c r="N48" s="18"/>
      <x:c r="O48" s="18"/>
      <x:c r="P48" s="18"/>
      <x:c r="Q48" s="18"/>
      <x:c r="R48" s="18"/>
      <x:c r="S48" s="18"/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22"/>
      <x:c r="M49" s="18"/>
      <x:c r="N49" s="18"/>
      <x:c r="O49" s="18"/>
      <x:c r="P49" s="18"/>
      <x:c r="Q49" s="18"/>
      <x:c r="R49" s="18"/>
      <x:c r="S49" s="18"/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22"/>
      <x:c r="M50" s="18"/>
      <x:c r="N50" s="18"/>
      <x:c r="O50" s="18"/>
      <x:c r="P50" s="18"/>
      <x:c r="Q50" s="18"/>
      <x:c r="R50" s="18"/>
      <x:c r="S50" s="18"/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22"/>
      <x:c r="M51" s="18"/>
      <x:c r="N51" s="18"/>
      <x:c r="O51" s="18"/>
      <x:c r="P51" s="18"/>
      <x:c r="Q51" s="18"/>
      <x:c r="R51" s="18"/>
      <x:c r="S51" s="18"/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22"/>
      <x:c r="M52" s="18"/>
      <x:c r="N52" s="18"/>
      <x:c r="O52" s="18"/>
      <x:c r="P52" s="18"/>
      <x:c r="Q52" s="18"/>
      <x:c r="R52" s="18"/>
      <x:c r="S52" s="18"/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22"/>
      <x:c r="M53" s="18"/>
      <x:c r="N53" s="18"/>
      <x:c r="O53" s="18"/>
      <x:c r="P53" s="18"/>
      <x:c r="Q53" s="18"/>
      <x:c r="R53" s="18"/>
      <x:c r="S53" s="18"/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22"/>
      <x:c r="M54" s="18"/>
      <x:c r="N54" s="18"/>
      <x:c r="O54" s="18"/>
      <x:c r="P54" s="18"/>
      <x:c r="Q54" s="18"/>
      <x:c r="R54" s="18"/>
      <x:c r="S54" s="18"/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22"/>
      <x:c r="M55" s="18"/>
      <x:c r="N55" s="18"/>
      <x:c r="O55" s="18"/>
      <x:c r="P55" s="18"/>
      <x:c r="Q55" s="18"/>
      <x:c r="R55" s="18"/>
      <x:c r="S55" s="18"/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22"/>
      <x:c r="M56" s="18"/>
      <x:c r="N56" s="18"/>
      <x:c r="O56" s="18"/>
      <x:c r="P56" s="18"/>
      <x:c r="Q56" s="18"/>
      <x:c r="R56" s="18"/>
      <x:c r="S56" s="18"/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22"/>
      <x:c r="M57" s="18"/>
      <x:c r="N57" s="18"/>
      <x:c r="O57" s="18"/>
      <x:c r="P57" s="18"/>
      <x:c r="Q57" s="18"/>
      <x:c r="R57" s="18"/>
      <x:c r="S57" s="18"/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22"/>
      <x:c r="M58" s="18"/>
      <x:c r="N58" s="18"/>
      <x:c r="O58" s="18"/>
      <x:c r="P58" s="18"/>
      <x:c r="Q58" s="18"/>
      <x:c r="R58" s="18"/>
      <x:c r="S58" s="18"/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22"/>
      <x:c r="M59" s="18"/>
      <x:c r="N59" s="18"/>
      <x:c r="O59" s="18"/>
      <x:c r="P59" s="18"/>
      <x:c r="Q59" s="18"/>
      <x:c r="R59" s="18"/>
      <x:c r="S59" s="18"/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22"/>
      <x:c r="M60" s="18"/>
      <x:c r="N60" s="18"/>
      <x:c r="O60" s="18"/>
      <x:c r="P60" s="18"/>
      <x:c r="Q60" s="18"/>
      <x:c r="R60" s="18"/>
      <x:c r="S60" s="18"/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22"/>
      <x:c r="M61" s="18"/>
      <x:c r="N61" s="18"/>
      <x:c r="O61" s="18"/>
      <x:c r="P61" s="18"/>
      <x:c r="Q61" s="18"/>
      <x:c r="R61" s="18"/>
      <x:c r="S61" s="18"/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22"/>
      <x:c r="M62" s="18"/>
      <x:c r="N62" s="18"/>
      <x:c r="O62" s="18"/>
      <x:c r="P62" s="18"/>
      <x:c r="Q62" s="18"/>
      <x:c r="R62" s="18"/>
      <x:c r="S62" s="18"/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22"/>
      <x:c r="M63" s="18"/>
      <x:c r="N63" s="18"/>
      <x:c r="O63" s="18"/>
      <x:c r="P63" s="18"/>
      <x:c r="Q63" s="18"/>
      <x:c r="R63" s="18"/>
      <x:c r="S63" s="18"/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22"/>
      <x:c r="M64" s="18"/>
      <x:c r="N64" s="18"/>
      <x:c r="O64" s="18"/>
      <x:c r="P64" s="18"/>
      <x:c r="Q64" s="18"/>
      <x:c r="R64" s="18"/>
      <x:c r="S64" s="18"/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22"/>
      <x:c r="M65" s="18"/>
      <x:c r="N65" s="18"/>
      <x:c r="O65" s="18"/>
      <x:c r="P65" s="18"/>
      <x:c r="Q65" s="18"/>
      <x:c r="R65" s="18"/>
      <x:c r="S65" s="18"/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22"/>
      <x:c r="M66" s="18"/>
      <x:c r="N66" s="18"/>
      <x:c r="O66" s="18"/>
      <x:c r="P66" s="18"/>
      <x:c r="Q66" s="18"/>
      <x:c r="R66" s="18"/>
      <x:c r="S66" s="18"/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22"/>
      <x:c r="M67" s="18"/>
      <x:c r="N67" s="18"/>
      <x:c r="O67" s="18"/>
      <x:c r="P67" s="18"/>
      <x:c r="Q67" s="18"/>
      <x:c r="R67" s="18"/>
      <x:c r="S67" s="18"/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22"/>
      <x:c r="M68" s="18"/>
      <x:c r="N68" s="18"/>
      <x:c r="O68" s="18"/>
      <x:c r="P68" s="18"/>
      <x:c r="Q68" s="18"/>
      <x:c r="R68" s="18"/>
      <x:c r="S68" s="18"/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22"/>
      <x:c r="M69" s="18"/>
      <x:c r="N69" s="18"/>
      <x:c r="O69" s="18"/>
      <x:c r="P69" s="18"/>
      <x:c r="Q69" s="18"/>
      <x:c r="R69" s="18"/>
      <x:c r="S69" s="18"/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22"/>
      <x:c r="M70" s="18"/>
      <x:c r="N70" s="18"/>
      <x:c r="O70" s="18"/>
      <x:c r="P70" s="18"/>
      <x:c r="Q70" s="18"/>
      <x:c r="R70" s="18"/>
      <x:c r="S70" s="18"/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22"/>
      <x:c r="M71" s="18"/>
      <x:c r="N71" s="18"/>
      <x:c r="O71" s="18"/>
      <x:c r="P71" s="18"/>
      <x:c r="Q71" s="18"/>
      <x:c r="R71" s="18"/>
      <x:c r="S71" s="18"/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22"/>
      <x:c r="M72" s="18"/>
      <x:c r="N72" s="18"/>
      <x:c r="O72" s="18"/>
      <x:c r="P72" s="18"/>
      <x:c r="Q72" s="18"/>
      <x:c r="R72" s="18"/>
      <x:c r="S72" s="18"/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22"/>
      <x:c r="M73" s="18"/>
      <x:c r="N73" s="18"/>
      <x:c r="O73" s="18"/>
      <x:c r="P73" s="18"/>
      <x:c r="Q73" s="18"/>
      <x:c r="R73" s="18"/>
      <x:c r="S73" s="18"/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22"/>
      <x:c r="M74" s="18"/>
      <x:c r="N74" s="18"/>
      <x:c r="O74" s="18"/>
      <x:c r="P74" s="18"/>
      <x:c r="Q74" s="18"/>
      <x:c r="R74" s="18"/>
      <x:c r="S74" s="18"/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22"/>
      <x:c r="M75" s="18"/>
      <x:c r="N75" s="18"/>
      <x:c r="O75" s="18"/>
      <x:c r="P75" s="18"/>
      <x:c r="Q75" s="18"/>
      <x:c r="R75" s="18"/>
      <x:c r="S75" s="18"/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22"/>
      <x:c r="M76" s="18"/>
      <x:c r="N76" s="18"/>
      <x:c r="O76" s="18"/>
      <x:c r="P76" s="18"/>
      <x:c r="Q76" s="18"/>
      <x:c r="R76" s="18"/>
      <x:c r="S76" s="18"/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22"/>
      <x:c r="M77" s="18"/>
      <x:c r="N77" s="18"/>
      <x:c r="O77" s="18"/>
      <x:c r="P77" s="18"/>
      <x:c r="Q77" s="18"/>
      <x:c r="R77" s="18"/>
      <x:c r="S77" s="18"/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22"/>
      <x:c r="M78" s="18"/>
      <x:c r="N78" s="18"/>
      <x:c r="O78" s="18"/>
      <x:c r="P78" s="18"/>
      <x:c r="Q78" s="18"/>
      <x:c r="R78" s="18"/>
      <x:c r="S78" s="18"/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22"/>
      <x:c r="M79" s="18"/>
      <x:c r="N79" s="18"/>
      <x:c r="O79" s="18"/>
      <x:c r="P79" s="18"/>
      <x:c r="Q79" s="18"/>
      <x:c r="R79" s="18"/>
      <x:c r="S79" s="18"/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22"/>
      <x:c r="M80" s="18"/>
      <x:c r="N80" s="18"/>
      <x:c r="O80" s="18"/>
      <x:c r="P80" s="18"/>
      <x:c r="Q80" s="18"/>
      <x:c r="R80" s="18"/>
      <x:c r="S80" s="18"/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22"/>
      <x:c r="M81" s="18"/>
      <x:c r="N81" s="18"/>
      <x:c r="O81" s="18"/>
      <x:c r="P81" s="18"/>
      <x:c r="Q81" s="18"/>
      <x:c r="R81" s="18"/>
      <x:c r="S81" s="18"/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22"/>
      <x:c r="M82" s="18"/>
      <x:c r="N82" s="18"/>
      <x:c r="O82" s="18"/>
      <x:c r="P82" s="18"/>
      <x:c r="Q82" s="18"/>
      <x:c r="R82" s="18"/>
      <x:c r="S82" s="18"/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22"/>
      <x:c r="M83" s="18"/>
      <x:c r="N83" s="18"/>
      <x:c r="O83" s="18"/>
      <x:c r="P83" s="18"/>
      <x:c r="Q83" s="18"/>
      <x:c r="R83" s="18"/>
      <x:c r="S83" s="18"/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22"/>
      <x:c r="M84" s="18"/>
      <x:c r="N84" s="18"/>
      <x:c r="O84" s="18"/>
      <x:c r="P84" s="18"/>
      <x:c r="Q84" s="18"/>
      <x:c r="R84" s="18"/>
      <x:c r="S84" s="18"/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22"/>
      <x:c r="M85" s="18"/>
      <x:c r="N85" s="18"/>
      <x:c r="O85" s="18"/>
      <x:c r="P85" s="18"/>
      <x:c r="Q85" s="18"/>
      <x:c r="R85" s="18"/>
      <x:c r="S85" s="18"/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22"/>
      <x:c r="M86" s="18"/>
      <x:c r="N86" s="18"/>
      <x:c r="O86" s="18"/>
      <x:c r="P86" s="18"/>
      <x:c r="Q86" s="18"/>
      <x:c r="R86" s="18"/>
      <x:c r="S86" s="18"/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22"/>
      <x:c r="M87" s="18"/>
      <x:c r="N87" s="18"/>
      <x:c r="O87" s="18"/>
      <x:c r="P87" s="18"/>
      <x:c r="Q87" s="18"/>
      <x:c r="R87" s="18"/>
      <x:c r="S87" s="18"/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22"/>
      <x:c r="M88" s="18"/>
      <x:c r="N88" s="18"/>
      <x:c r="O88" s="18"/>
      <x:c r="P88" s="18"/>
      <x:c r="Q88" s="18"/>
      <x:c r="R88" s="18"/>
      <x:c r="S88" s="18"/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22"/>
      <x:c r="M89" s="18"/>
      <x:c r="N89" s="18"/>
      <x:c r="O89" s="18"/>
      <x:c r="P89" s="18"/>
      <x:c r="Q89" s="18"/>
      <x:c r="R89" s="18"/>
      <x:c r="S89" s="18"/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22"/>
      <x:c r="M90" s="18"/>
      <x:c r="N90" s="18"/>
      <x:c r="O90" s="18"/>
      <x:c r="P90" s="18"/>
      <x:c r="Q90" s="18"/>
      <x:c r="R90" s="18"/>
      <x:c r="S90" s="18"/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22"/>
      <x:c r="M91" s="18"/>
      <x:c r="N91" s="18"/>
      <x:c r="O91" s="18"/>
      <x:c r="P91" s="18"/>
      <x:c r="Q91" s="18"/>
      <x:c r="R91" s="18"/>
      <x:c r="S91" s="18"/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22"/>
      <x:c r="M92" s="18"/>
      <x:c r="N92" s="18"/>
      <x:c r="O92" s="18"/>
      <x:c r="P92" s="18"/>
      <x:c r="Q92" s="18"/>
      <x:c r="R92" s="18"/>
      <x:c r="S92" s="18"/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22"/>
      <x:c r="M93" s="18"/>
      <x:c r="N93" s="18"/>
      <x:c r="O93" s="18"/>
      <x:c r="P93" s="18"/>
      <x:c r="Q93" s="18"/>
      <x:c r="R93" s="18"/>
      <x:c r="S93" s="18"/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22"/>
      <x:c r="M94" s="18"/>
      <x:c r="N94" s="18"/>
      <x:c r="O94" s="18"/>
      <x:c r="P94" s="18"/>
      <x:c r="Q94" s="18"/>
      <x:c r="R94" s="18"/>
      <x:c r="S94" s="18"/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22"/>
      <x:c r="M95" s="18"/>
      <x:c r="N95" s="18"/>
      <x:c r="O95" s="18"/>
      <x:c r="P95" s="18"/>
      <x:c r="Q95" s="18"/>
      <x:c r="R95" s="18"/>
      <x:c r="S95" s="18"/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22"/>
      <x:c r="M96" s="18"/>
      <x:c r="N96" s="18"/>
      <x:c r="O96" s="18"/>
      <x:c r="P96" s="18"/>
      <x:c r="Q96" s="18"/>
      <x:c r="R96" s="18"/>
      <x:c r="S96" s="18"/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22"/>
      <x:c r="M97" s="18"/>
      <x:c r="N97" s="18"/>
      <x:c r="O97" s="18"/>
      <x:c r="P97" s="18"/>
      <x:c r="Q97" s="18"/>
      <x:c r="R97" s="18"/>
      <x:c r="S97" s="18"/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22"/>
      <x:c r="M98" s="18"/>
      <x:c r="N98" s="18"/>
      <x:c r="O98" s="18"/>
      <x:c r="P98" s="18"/>
      <x:c r="Q98" s="18"/>
      <x:c r="R98" s="18"/>
      <x:c r="S98" s="18"/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22"/>
      <x:c r="M99" s="18"/>
      <x:c r="N99" s="18"/>
      <x:c r="O99" s="18"/>
      <x:c r="P99" s="18"/>
      <x:c r="Q99" s="18"/>
      <x:c r="R99" s="18"/>
      <x:c r="S99" s="18"/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22"/>
      <x:c r="M100" s="18"/>
      <x:c r="N100" s="18"/>
      <x:c r="O100" s="18"/>
      <x:c r="P100" s="18"/>
      <x:c r="Q100" s="18"/>
      <x:c r="R100" s="18"/>
      <x:c r="S100" s="18"/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22"/>
      <x:c r="M101" s="18"/>
      <x:c r="N101" s="18"/>
      <x:c r="O101" s="18"/>
      <x:c r="P101" s="18"/>
      <x:c r="Q101" s="18"/>
      <x:c r="R101" s="18"/>
      <x:c r="S101" s="18"/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22"/>
      <x:c r="M102" s="18"/>
      <x:c r="N102" s="18"/>
      <x:c r="O102" s="18"/>
      <x:c r="P102" s="18"/>
      <x:c r="Q102" s="18"/>
      <x:c r="R102" s="18"/>
      <x:c r="S102" s="18"/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22"/>
      <x:c r="M103" s="18"/>
      <x:c r="N103" s="18"/>
      <x:c r="O103" s="18"/>
      <x:c r="P103" s="18"/>
      <x:c r="Q103" s="18"/>
      <x:c r="R103" s="18"/>
      <x:c r="S103" s="18"/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22"/>
      <x:c r="M104" s="18"/>
      <x:c r="N104" s="18"/>
      <x:c r="O104" s="18"/>
      <x:c r="P104" s="18"/>
      <x:c r="Q104" s="18"/>
      <x:c r="R104" s="18"/>
      <x:c r="S104" s="18"/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22"/>
      <x:c r="M105" s="18"/>
      <x:c r="N105" s="18"/>
      <x:c r="O105" s="18"/>
      <x:c r="P105" s="18"/>
      <x:c r="Q105" s="18"/>
      <x:c r="R105" s="18"/>
      <x:c r="S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1588cd1f7ab7495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3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  <x:col min="9" max="9" width="18" hidden="0" customWidth="1"/>
  </x:cols>
  <x:sheetData>
    <x:row r="1" ht="34" customHeight="1">
      <x:c r="A1" s="3" t="str">
        <x:v>TECHNICAL QA</x:v>
      </x:c>
      <x:c r="B1" s="3"/>
      <x:c r="C1" s="3"/>
      <x:c r="D1" s="3"/>
      <x:c r="E1" s="3"/>
      <x:c r="F1" s="3"/>
      <x:c r="G1" s="3"/>
      <x:c r="H1" s="3"/>
      <x:c r="I1" s="3"/>
    </x:row>
    <x:row r="2" ht="23" customHeight="1">
      <x:c r="A2" s="7" t="str">
        <x:v>Test catalogue only. No check is marked passed without evidence; expand URL-level results in Crawl History.</x:v>
      </x:c>
      <x:c r="B2" s="7"/>
      <x:c r="C2" s="7"/>
      <x:c r="D2" s="7"/>
      <x:c r="E2" s="7"/>
      <x:c r="F2" s="7"/>
      <x:c r="G2" s="7"/>
      <x:c r="H2" s="7"/>
      <x:c r="I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5" ht="32" customHeight="1">
      <x:c r="A5" s="12" t="str">
        <x:v>check_id</x:v>
      </x:c>
      <x:c r="B5" s="12" t="str">
        <x:v>area</x:v>
      </x:c>
      <x:c r="C5" s="12" t="str">
        <x:v>check</x:v>
      </x:c>
      <x:c r="D5" s="12" t="str">
        <x:v>scope</x:v>
      </x:c>
      <x:c r="E5" s="12" t="str">
        <x:v>status</x:v>
      </x:c>
      <x:c r="F5" s="12" t="str">
        <x:v>tested_count</x:v>
      </x:c>
      <x:c r="G5" s="12" t="str">
        <x:v>affected_count</x:v>
      </x:c>
      <x:c r="H5" s="12" t="str">
        <x:v>evidence</x:v>
      </x:c>
      <x:c r="I5" s="12" t="str">
        <x:v>owner</x:v>
      </x:c>
    </x:row>
    <x:row r="6" ht="58" customHeight="1">
      <x:c r="A6" s="18" t="str">
        <x:v>QA-001</x:v>
      </x:c>
      <x:c r="B6" s="18" t="str">
        <x:v>Coverage</x:v>
      </x:c>
      <x:c r="C6" s="18" t="str">
        <x:v>Reconcile route templates, public CMS entities, sitemaps, internal crawl, GSC, GA4 and backlink target URLs</x:v>
      </x:c>
      <x:c r="D6" s="18" t="str">
        <x:v>All relevant URLs / templates</x:v>
      </x:c>
      <x:c r="E6" s="18" t="str">
        <x:v>Not tested</x:v>
      </x:c>
      <x:c r="F6" s="18"/>
      <x:c r="G6" s="18"/>
      <x:c r="H6" s="18"/>
      <x:c r="I6" s="18"/>
    </x:row>
    <x:row r="7" ht="58" customHeight="1">
      <x:c r="A7" s="18" t="str">
        <x:v>QA-002</x:v>
      </x:c>
      <x:c r="B7" s="18" t="str">
        <x:v>Coverage</x:v>
      </x:c>
      <x:c r="C7" s="18" t="str">
        <x:v>Include zero-traffic pages, orphan candidates, noindexed pages, redirects and retired URLs</x:v>
      </x:c>
      <x:c r="D7" s="18" t="str">
        <x:v>All relevant URLs / templates</x:v>
      </x:c>
      <x:c r="E7" s="18" t="str">
        <x:v>Not tested</x:v>
      </x:c>
      <x:c r="F7" s="18"/>
      <x:c r="G7" s="18"/>
      <x:c r="H7" s="18"/>
      <x:c r="I7" s="18"/>
    </x:row>
    <x:row r="8" ht="58" customHeight="1">
      <x:c r="A8" s="18" t="str">
        <x:v>QA-003</x:v>
      </x:c>
      <x:c r="B8" s="18" t="str">
        <x:v>Coverage</x:v>
      </x:c>
      <x:c r="C8" s="18" t="str">
        <x:v>Record discovered/tested/blocked/excluded counts by market, locale and page type</x:v>
      </x:c>
      <x:c r="D8" s="18" t="str">
        <x:v>All relevant URLs / templates</x:v>
      </x:c>
      <x:c r="E8" s="18" t="str">
        <x:v>Not tested</x:v>
      </x:c>
      <x:c r="F8" s="18"/>
      <x:c r="G8" s="18"/>
      <x:c r="H8" s="18"/>
      <x:c r="I8" s="18"/>
    </x:row>
    <x:row r="9" ht="58" customHeight="1">
      <x:c r="A9" s="18" t="str">
        <x:v>QA-004</x:v>
      </x:c>
      <x:c r="B9" s="18" t="str">
        <x:v>Coverage</x:v>
      </x:c>
      <x:c r="C9" s="18" t="str">
        <x:v>Compare deployed commit/configuration with the inspected repository revision</x:v>
      </x:c>
      <x:c r="D9" s="18" t="str">
        <x:v>All relevant URLs / templates</x:v>
      </x:c>
      <x:c r="E9" s="18" t="str">
        <x:v>Not tested</x:v>
      </x:c>
      <x:c r="F9" s="18"/>
      <x:c r="G9" s="18"/>
      <x:c r="H9" s="18"/>
      <x:c r="I9" s="18"/>
    </x:row>
    <x:row r="10" ht="58" customHeight="1">
      <x:c r="A10" s="18" t="str">
        <x:v>QA-005</x:v>
      </x:c>
      <x:c r="B10" s="18" t="str">
        <x:v>HTTP and indexability</x:v>
      </x:c>
      <x:c r="C10" s="18" t="str">
        <x:v>Check final HTTP status, redirect chain and soft-404 behavior</x:v>
      </x:c>
      <x:c r="D10" s="18" t="str">
        <x:v>All relevant URLs / templates</x:v>
      </x:c>
      <x:c r="E10" s="18" t="str">
        <x:v>Not tested</x:v>
      </x:c>
      <x:c r="F10" s="18"/>
      <x:c r="G10" s="18"/>
      <x:c r="H10" s="18"/>
      <x:c r="I10" s="18"/>
    </x:row>
    <x:row r="11" ht="58" customHeight="1">
      <x:c r="A11" s="18" t="str">
        <x:v>QA-006</x:v>
      </x:c>
      <x:c r="B11" s="18" t="str">
        <x:v>HTTP and indexability</x:v>
      </x:c>
      <x:c r="C11" s="18" t="str">
        <x:v>Verify production robots.txt and X-Robots-Tag against intended public/private routes</x:v>
      </x:c>
      <x:c r="D11" s="18" t="str">
        <x:v>All relevant URLs / templates</x:v>
      </x:c>
      <x:c r="E11" s="18" t="str">
        <x:v>Not tested</x:v>
      </x:c>
      <x:c r="F11" s="18"/>
      <x:c r="G11" s="18"/>
      <x:c r="H11" s="18"/>
      <x:c r="I11" s="18"/>
    </x:row>
    <x:row r="12" ht="58" customHeight="1">
      <x:c r="A12" s="18" t="str">
        <x:v>QA-007</x:v>
      </x:c>
      <x:c r="B12" s="18" t="str">
        <x:v>HTTP and indexability</x:v>
      </x:c>
      <x:c r="C12" s="18" t="str">
        <x:v>Check canonical host, HTTPS, trailing-slash and query-parameter consistency</x:v>
      </x:c>
      <x:c r="D12" s="18" t="str">
        <x:v>All relevant URLs / templates</x:v>
      </x:c>
      <x:c r="E12" s="18" t="str">
        <x:v>Not tested</x:v>
      </x:c>
      <x:c r="F12" s="18"/>
      <x:c r="G12" s="18"/>
      <x:c r="H12" s="18"/>
      <x:c r="I12" s="18"/>
    </x:row>
    <x:row r="13" ht="58" customHeight="1">
      <x:c r="A13" s="18" t="str">
        <x:v>QA-008</x:v>
      </x:c>
      <x:c r="B13" s="18" t="str">
        <x:v>HTTP and indexability</x:v>
      </x:c>
      <x:c r="C13" s="18" t="str">
        <x:v>Confirm canonical target is a live intended indexable URL</x:v>
      </x:c>
      <x:c r="D13" s="18" t="str">
        <x:v>All relevant URLs / templates</x:v>
      </x:c>
      <x:c r="E13" s="18" t="str">
        <x:v>Not tested</x:v>
      </x:c>
      <x:c r="F13" s="18"/>
      <x:c r="G13" s="18"/>
      <x:c r="H13" s="18"/>
      <x:c r="I13" s="18"/>
    </x:row>
    <x:row r="14" ht="58" customHeight="1">
      <x:c r="A14" s="18" t="str">
        <x:v>QA-009</x:v>
      </x:c>
      <x:c r="B14" s="18" t="str">
        <x:v>HTTP and indexability</x:v>
      </x:c>
      <x:c r="C14" s="18" t="str">
        <x:v>Reconcile sitemap inclusion with publication eligibility and meaningful lastmod</x:v>
      </x:c>
      <x:c r="D14" s="18" t="str">
        <x:v>All relevant URLs / templates</x:v>
      </x:c>
      <x:c r="E14" s="18" t="str">
        <x:v>Not tested</x:v>
      </x:c>
      <x:c r="F14" s="18"/>
      <x:c r="G14" s="18"/>
      <x:c r="H14" s="18"/>
      <x:c r="I14" s="18"/>
    </x:row>
    <x:row r="15" ht="58" customHeight="1">
      <x:c r="A15" s="18" t="str">
        <x:v>QA-010</x:v>
      </x:c>
      <x:c r="B15" s="18" t="str">
        <x:v>HTTP and indexability</x:v>
      </x:c>
      <x:c r="C15" s="18" t="str">
        <x:v>Distinguish intended noindex, approved 410 and valid redirects from defects</x:v>
      </x:c>
      <x:c r="D15" s="18" t="str">
        <x:v>All relevant URLs / templates</x:v>
      </x:c>
      <x:c r="E15" s="18" t="str">
        <x:v>Not tested</x:v>
      </x:c>
      <x:c r="F15" s="18"/>
      <x:c r="G15" s="18"/>
      <x:c r="H15" s="18"/>
      <x:c r="I15" s="18"/>
    </x:row>
    <x:row r="16" ht="58" customHeight="1">
      <x:c r="A16" s="18" t="str">
        <x:v>QA-011</x:v>
      </x:c>
      <x:c r="B16" s="18" t="str">
        <x:v>HTTP and indexability</x:v>
      </x:c>
      <x:c r="C16" s="18" t="str">
        <x:v>Inspect Google's selected canonical and last crawl where quota allows</x:v>
      </x:c>
      <x:c r="D16" s="18" t="str">
        <x:v>All relevant URLs / templates</x:v>
      </x:c>
      <x:c r="E16" s="18" t="str">
        <x:v>Not tested</x:v>
      </x:c>
      <x:c r="F16" s="18"/>
      <x:c r="G16" s="18"/>
      <x:c r="H16" s="18"/>
      <x:c r="I16" s="18"/>
    </x:row>
    <x:row r="17" ht="58" customHeight="1">
      <x:c r="A17" s="18" t="str">
        <x:v>QA-012</x:v>
      </x:c>
      <x:c r="B17" s="18" t="str">
        <x:v>International SEO</x:v>
      </x:c>
      <x:c r="C17" s="18" t="str">
        <x:v>Compare runtime country registry with seed configuration; do not assume 33 combinations are all published</x:v>
      </x:c>
      <x:c r="D17" s="18" t="str">
        <x:v>All relevant URLs / templates</x:v>
      </x:c>
      <x:c r="E17" s="18" t="str">
        <x:v>Not tested</x:v>
      </x:c>
      <x:c r="F17" s="18"/>
      <x:c r="G17" s="18"/>
      <x:c r="H17" s="18"/>
      <x:c r="I17" s="18"/>
    </x:row>
    <x:row r="18" ht="58" customHeight="1">
      <x:c r="A18" s="18" t="str">
        <x:v>QA-013</x:v>
      </x:c>
      <x:c r="B18" s="18" t="str">
        <x:v>International SEO</x:v>
      </x:c>
      <x:c r="C18" s="18" t="str">
        <x:v>Verify actual visible language, html lang and regional wording</x:v>
      </x:c>
      <x:c r="D18" s="18" t="str">
        <x:v>All relevant URLs / templates</x:v>
      </x:c>
      <x:c r="E18" s="18" t="str">
        <x:v>Not tested</x:v>
      </x:c>
      <x:c r="F18" s="18"/>
      <x:c r="G18" s="18"/>
      <x:c r="H18" s="18"/>
      <x:c r="I18" s="18"/>
    </x:row>
    <x:row r="19" ht="58" customHeight="1">
      <x:c r="A19" s="18" t="str">
        <x:v>QA-014</x:v>
      </x:c>
      <x:c r="B19" s="18" t="str">
        <x:v>International SEO</x:v>
      </x:c>
      <x:c r="C19" s="18" t="str">
        <x:v>Validate reciprocal/self-referencing equivalent hreflang clusters and x-default policy</x:v>
      </x:c>
      <x:c r="D19" s="18" t="str">
        <x:v>All relevant URLs / templates</x:v>
      </x:c>
      <x:c r="E19" s="18" t="str">
        <x:v>Not tested</x:v>
      </x:c>
      <x:c r="F19" s="18"/>
      <x:c r="G19" s="18"/>
      <x:c r="H19" s="18"/>
      <x:c r="I19" s="18"/>
    </x:row>
    <x:row r="20" ht="58" customHeight="1">
      <x:c r="A20" s="18" t="str">
        <x:v>QA-015</x:v>
      </x:c>
      <x:c r="B20" s="18" t="str">
        <x:v>International SEO</x:v>
      </x:c>
      <x:c r="C20" s="18" t="str">
        <x:v>Exclude unavailable or noindexed translation variants from hreflang and sitemaps</x:v>
      </x:c>
      <x:c r="D20" s="18" t="str">
        <x:v>All relevant URLs / templates</x:v>
      </x:c>
      <x:c r="E20" s="18" t="str">
        <x:v>Not tested</x:v>
      </x:c>
      <x:c r="F20" s="18"/>
      <x:c r="G20" s="18"/>
      <x:c r="H20" s="18"/>
      <x:c r="I20" s="18"/>
    </x:row>
    <x:row r="21" ht="58" customHeight="1">
      <x:c r="A21" s="18" t="str">
        <x:v>QA-016</x:v>
      </x:c>
      <x:c r="B21" s="18" t="str">
        <x:v>International SEO</x:v>
      </x:c>
      <x:c r="C21" s="18" t="str">
        <x:v>Do not automatically canonicalize localized pages to English</x:v>
      </x:c>
      <x:c r="D21" s="18" t="str">
        <x:v>All relevant URLs / templates</x:v>
      </x:c>
      <x:c r="E21" s="18" t="str">
        <x:v>Not tested</x:v>
      </x:c>
      <x:c r="F21" s="18"/>
      <x:c r="G21" s="18"/>
      <x:c r="H21" s="18"/>
      <x:c r="I21" s="18"/>
    </x:row>
    <x:row r="22" ht="58" customHeight="1">
      <x:c r="A22" s="18" t="str">
        <x:v>QA-017</x:v>
      </x:c>
      <x:c r="B22" s="18" t="str">
        <x:v>International SEO</x:v>
      </x:c>
      <x:c r="C22" s="18" t="str">
        <x:v>Check country/language switch links preserve equivalent entity and supported destination</x:v>
      </x:c>
      <x:c r="D22" s="18" t="str">
        <x:v>All relevant URLs / templates</x:v>
      </x:c>
      <x:c r="E22" s="18" t="str">
        <x:v>Not tested</x:v>
      </x:c>
      <x:c r="F22" s="18"/>
      <x:c r="G22" s="18"/>
      <x:c r="H22" s="18"/>
      <x:c r="I22" s="18"/>
    </x:row>
    <x:row r="23" ht="58" customHeight="1">
      <x:c r="A23" s="18" t="str">
        <x:v>QA-018</x:v>
      </x:c>
      <x:c r="B23" s="18" t="str">
        <x:v>International SEO</x:v>
      </x:c>
      <x:c r="C23" s="18" t="str">
        <x:v>Compare pt-PT and pt-BR terminology, currency, price and service applicability</x:v>
      </x:c>
      <x:c r="D23" s="18" t="str">
        <x:v>All relevant URLs / templates</x:v>
      </x:c>
      <x:c r="E23" s="18" t="str">
        <x:v>Not tested</x:v>
      </x:c>
      <x:c r="F23" s="18"/>
      <x:c r="G23" s="18"/>
      <x:c r="H23" s="18"/>
      <x:c r="I23" s="18"/>
    </x:row>
    <x:row r="24" ht="58" customHeight="1">
      <x:c r="A24" s="18" t="str">
        <x:v>QA-019</x:v>
      </x:c>
      <x:c r="B24" s="18" t="str">
        <x:v>International SEO</x:v>
      </x:c>
      <x:c r="C24" s="18" t="str">
        <x:v>Verify search crawlers can access language variants without forced geo/cookie redirects</x:v>
      </x:c>
      <x:c r="D24" s="18" t="str">
        <x:v>All relevant URLs / templates</x:v>
      </x:c>
      <x:c r="E24" s="18" t="str">
        <x:v>Not tested</x:v>
      </x:c>
      <x:c r="F24" s="18"/>
      <x:c r="G24" s="18"/>
      <x:c r="H24" s="18"/>
      <x:c r="I24" s="18"/>
    </x:row>
    <x:row r="25" ht="58" customHeight="1">
      <x:c r="A25" s="18" t="str">
        <x:v>QA-020</x:v>
      </x:c>
      <x:c r="B25" s="18" t="str">
        <x:v>Data and rendering</x:v>
      </x:c>
      <x:c r="C25" s="18" t="str">
        <x:v>Trace country + locale + entity + publication filters from route to public content source</x:v>
      </x:c>
      <x:c r="D25" s="18" t="str">
        <x:v>All relevant URLs / templates</x:v>
      </x:c>
      <x:c r="E25" s="18" t="str">
        <x:v>Not tested</x:v>
      </x:c>
      <x:c r="F25" s="18"/>
      <x:c r="G25" s="18"/>
      <x:c r="H25" s="18"/>
      <x:c r="I25" s="18"/>
    </x:row>
    <x:row r="26" ht="58" customHeight="1">
      <x:c r="A26" s="18" t="str">
        <x:v>QA-021</x:v>
      </x:c>
      <x:c r="B26" s="18" t="str">
        <x:v>Data and rendering</x:v>
      </x:c>
      <x:c r="C26" s="18" t="str">
        <x:v>Check cache keys, tags, invalidation and fallback paths for cross-market leakage</x:v>
      </x:c>
      <x:c r="D26" s="18" t="str">
        <x:v>All relevant URLs / templates</x:v>
      </x:c>
      <x:c r="E26" s="18" t="str">
        <x:v>Not tested</x:v>
      </x:c>
      <x:c r="F26" s="18"/>
      <x:c r="G26" s="18"/>
      <x:c r="H26" s="18"/>
      <x:c r="I26" s="18"/>
    </x:row>
    <x:row r="27" ht="58" customHeight="1">
      <x:c r="A27" s="18" t="str">
        <x:v>QA-022</x:v>
      </x:c>
      <x:c r="B27" s="18" t="str">
        <x:v>Data and rendering</x:v>
      </x:c>
      <x:c r="C27" s="18" t="str">
        <x:v>Compare server HTML with hydrated DOM, including metadata, content and JSON-LD</x:v>
      </x:c>
      <x:c r="D27" s="18" t="str">
        <x:v>All relevant URLs / templates</x:v>
      </x:c>
      <x:c r="E27" s="18" t="str">
        <x:v>Not tested</x:v>
      </x:c>
      <x:c r="F27" s="18"/>
      <x:c r="G27" s="18"/>
      <x:c r="H27" s="18"/>
      <x:c r="I27" s="18"/>
    </x:row>
    <x:row r="28" ht="58" customHeight="1">
      <x:c r="A28" s="18" t="str">
        <x:v>QA-023</x:v>
      </x:c>
      <x:c r="B28" s="18" t="str">
        <x:v>Data and rendering</x:v>
      </x:c>
      <x:c r="C28" s="18" t="str">
        <x:v>Verify locale-aware service availability, doctor assignment, prices and booking timezones</x:v>
      </x:c>
      <x:c r="D28" s="18" t="str">
        <x:v>All relevant URLs / templates</x:v>
      </x:c>
      <x:c r="E28" s="18" t="str">
        <x:v>Not tested</x:v>
      </x:c>
      <x:c r="F28" s="18"/>
      <x:c r="G28" s="18"/>
      <x:c r="H28" s="18"/>
      <x:c r="I28" s="18"/>
    </x:row>
    <x:row r="29" ht="58" customHeight="1">
      <x:c r="A29" s="18" t="str">
        <x:v>QA-024</x:v>
      </x:c>
      <x:c r="B29" s="18" t="str">
        <x:v>Data and rendering</x:v>
      </x:c>
      <x:c r="C29" s="18" t="str">
        <x:v>Check missing translation, empty catalogue, missing entity and disabled-market behavior</x:v>
      </x:c>
      <x:c r="D29" s="18" t="str">
        <x:v>All relevant URLs / templates</x:v>
      </x:c>
      <x:c r="E29" s="18" t="str">
        <x:v>Not tested</x:v>
      </x:c>
      <x:c r="F29" s="18"/>
      <x:c r="G29" s="18"/>
      <x:c r="H29" s="18"/>
      <x:c r="I29" s="18"/>
    </x:row>
    <x:row r="30" ht="58" customHeight="1">
      <x:c r="A30" s="18" t="str">
        <x:v>QA-025</x:v>
      </x:c>
      <x:c r="B30" s="18" t="str">
        <x:v>Data and rendering</x:v>
      </x:c>
      <x:c r="C30" s="18" t="str">
        <x:v>Inspect country data fallback and stale cache behavior during API errors</x:v>
      </x:c>
      <x:c r="D30" s="18" t="str">
        <x:v>All relevant URLs / templates</x:v>
      </x:c>
      <x:c r="E30" s="18" t="str">
        <x:v>Not tested</x:v>
      </x:c>
      <x:c r="F30" s="18"/>
      <x:c r="G30" s="18"/>
      <x:c r="H30" s="18"/>
      <x:c r="I30" s="18"/>
    </x:row>
    <x:row r="31" ht="58" customHeight="1">
      <x:c r="A31" s="18" t="str">
        <x:v>QA-026</x:v>
      </x:c>
      <x:c r="B31" s="18" t="str">
        <x:v>Data and rendering</x:v>
      </x:c>
      <x:c r="C31" s="18" t="str">
        <x:v>Verify images, alt text, regulator links and biographies belong to the correct market</x:v>
      </x:c>
      <x:c r="D31" s="18" t="str">
        <x:v>All relevant URLs / templates</x:v>
      </x:c>
      <x:c r="E31" s="18" t="str">
        <x:v>Not tested</x:v>
      </x:c>
      <x:c r="F31" s="18"/>
      <x:c r="G31" s="18"/>
      <x:c r="H31" s="18"/>
      <x:c r="I31" s="18"/>
    </x:row>
    <x:row r="32" ht="58" customHeight="1">
      <x:c r="A32" s="18" t="str">
        <x:v>QA-027</x:v>
      </x:c>
      <x:c r="B32" s="18" t="str">
        <x:v>Technical implementation</x:v>
      </x:c>
      <x:c r="C32" s="18" t="str">
        <x:v>Inspect Next.js version, generateMetadata, metadataBase, static generation and dynamic-route behavior</x:v>
      </x:c>
      <x:c r="D32" s="18" t="str">
        <x:v>All relevant URLs / templates</x:v>
      </x:c>
      <x:c r="E32" s="18" t="str">
        <x:v>Not tested</x:v>
      </x:c>
      <x:c r="F32" s="18"/>
      <x:c r="G32" s="18"/>
      <x:c r="H32" s="18"/>
      <x:c r="I32" s="18"/>
    </x:row>
    <x:row r="33" ht="58" customHeight="1">
      <x:c r="A33" s="18" t="str">
        <x:v>QA-028</x:v>
      </x:c>
      <x:c r="B33" s="18" t="str">
        <x:v>Technical implementation</x:v>
      </x:c>
      <x:c r="C33" s="18" t="str">
        <x:v>Check frontend/proxy.ts and redirect ordering in next.config.ts without rewriting by default</x:v>
      </x:c>
      <x:c r="D33" s="18" t="str">
        <x:v>All relevant URLs / templates</x:v>
      </x:c>
      <x:c r="E33" s="18" t="str">
        <x:v>Not tested</x:v>
      </x:c>
      <x:c r="F33" s="18"/>
      <x:c r="G33" s="18"/>
      <x:c r="H33" s="18"/>
      <x:c r="I33" s="18"/>
    </x:row>
    <x:row r="34" ht="58" customHeight="1">
      <x:c r="A34" s="18" t="str">
        <x:v>QA-029</x:v>
      </x:c>
      <x:c r="B34" s="18" t="str">
        <x:v>Technical implementation</x:v>
      </x:c>
      <x:c r="C34" s="18" t="str">
        <x:v>Review route duplication, pagination, faceted/search URLs and internal linking depth</x:v>
      </x:c>
      <x:c r="D34" s="18" t="str">
        <x:v>All relevant URLs / templates</x:v>
      </x:c>
      <x:c r="E34" s="18" t="str">
        <x:v>Not tested</x:v>
      </x:c>
      <x:c r="F34" s="18"/>
      <x:c r="G34" s="18"/>
      <x:c r="H34" s="18"/>
      <x:c r="I34" s="18"/>
    </x:row>
    <x:row r="35" ht="58" customHeight="1">
      <x:c r="A35" s="18" t="str">
        <x:v>QA-030</x:v>
      </x:c>
      <x:c r="B35" s="18" t="str">
        <x:v>Technical implementation</x:v>
      </x:c>
      <x:c r="C35" s="18" t="str">
        <x:v>Validate page-applicable JSON-LD against visible content and official feature eligibility</x:v>
      </x:c>
      <x:c r="D35" s="18" t="str">
        <x:v>All relevant URLs / templates</x:v>
      </x:c>
      <x:c r="E35" s="18" t="str">
        <x:v>Not tested</x:v>
      </x:c>
      <x:c r="F35" s="18"/>
      <x:c r="G35" s="18"/>
      <x:c r="H35" s="18"/>
      <x:c r="I35" s="18"/>
    </x:row>
    <x:row r="36" ht="58" customHeight="1">
      <x:c r="A36" s="18" t="str">
        <x:v>QA-031</x:v>
      </x:c>
      <x:c r="B36" s="18" t="str">
        <x:v>Technical implementation</x:v>
      </x:c>
      <x:c r="C36" s="18" t="str">
        <x:v>Review author/reviewer and dateModified markup; do not fabricate approval or freshness</x:v>
      </x:c>
      <x:c r="D36" s="18" t="str">
        <x:v>All relevant URLs / templates</x:v>
      </x:c>
      <x:c r="E36" s="18" t="str">
        <x:v>Not tested</x:v>
      </x:c>
      <x:c r="F36" s="18"/>
      <x:c r="G36" s="18"/>
      <x:c r="H36" s="18"/>
      <x:c r="I36" s="18"/>
    </x:row>
    <x:row r="37" ht="58" customHeight="1">
      <x:c r="A37" s="18" t="str">
        <x:v>QA-032</x:v>
      </x:c>
      <x:c r="B37" s="18" t="str">
        <x:v>Technical implementation</x:v>
      </x:c>
      <x:c r="C37" s="18" t="str">
        <x:v>Verify existing seo-live-urls tests and ledger-sweep scripts before proposing replacements</x:v>
      </x:c>
      <x:c r="D37" s="18" t="str">
        <x:v>All relevant URLs / templates</x:v>
      </x:c>
      <x:c r="E37" s="18" t="str">
        <x:v>Not tested</x:v>
      </x:c>
      <x:c r="F37" s="18"/>
      <x:c r="G37" s="18"/>
      <x:c r="H37" s="18"/>
      <x:c r="I37" s="18"/>
    </x:row>
    <x:row r="38" ht="58" customHeight="1">
      <x:c r="A38" s="18" t="str">
        <x:v>QA-033</x:v>
      </x:c>
      <x:c r="B38" s="18" t="str">
        <x:v>Technical implementation</x:v>
      </x:c>
      <x:c r="C38" s="18" t="str">
        <x:v>Inspect mobile navigation, broken links, form labels, keyboard access and contrast</x:v>
      </x:c>
      <x:c r="D38" s="18" t="str">
        <x:v>All relevant URLs / templates</x:v>
      </x:c>
      <x:c r="E38" s="18" t="str">
        <x:v>Not tested</x:v>
      </x:c>
      <x:c r="F38" s="18"/>
      <x:c r="G38" s="18"/>
      <x:c r="H38" s="18"/>
      <x:c r="I38" s="18"/>
    </x:row>
    <x:row r="39" ht="58" customHeight="1">
      <x:c r="A39" s="18" t="str">
        <x:v>QA-034</x:v>
      </x:c>
      <x:c r="B39" s="18" t="str">
        <x:v>Technical implementation</x:v>
      </x:c>
      <x:c r="C39" s="18" t="str">
        <x:v>Check public error boundaries, loading states and unavailable-service messaging</x:v>
      </x:c>
      <x:c r="D39" s="18" t="str">
        <x:v>All relevant URLs / templates</x:v>
      </x:c>
      <x:c r="E39" s="18" t="str">
        <x:v>Not tested</x:v>
      </x:c>
      <x:c r="F39" s="18"/>
      <x:c r="G39" s="18"/>
      <x:c r="H39" s="18"/>
      <x:c r="I39" s="18"/>
    </x:row>
    <x:row r="40" ht="58" customHeight="1">
      <x:c r="A40" s="18" t="str">
        <x:v>QA-035</x:v>
      </x:c>
      <x:c r="B40" s="18" t="str">
        <x:v>Content and trust</x:v>
      </x:c>
      <x:c r="C40" s="18" t="str">
        <x:v>Check title, description, H1 and search intent without treating length heuristics as Google rules</x:v>
      </x:c>
      <x:c r="D40" s="18" t="str">
        <x:v>All relevant URLs / templates</x:v>
      </x:c>
      <x:c r="E40" s="18" t="str">
        <x:v>Not tested</x:v>
      </x:c>
      <x:c r="F40" s="18"/>
      <x:c r="G40" s="18"/>
      <x:c r="H40" s="18"/>
      <x:c r="I40" s="18"/>
    </x:row>
    <x:row r="41" ht="58" customHeight="1">
      <x:c r="A41" s="18" t="str">
        <x:v>QA-036</x:v>
      </x:c>
      <x:c r="B41" s="18" t="str">
        <x:v>Content and trust</x:v>
      </x:c>
      <x:c r="C41" s="18" t="str">
        <x:v>Compare factual content against the public catalogue and verified country-specific sources</x:v>
      </x:c>
      <x:c r="D41" s="18" t="str">
        <x:v>All relevant URLs / templates</x:v>
      </x:c>
      <x:c r="E41" s="18" t="str">
        <x:v>Not tested</x:v>
      </x:c>
      <x:c r="F41" s="18"/>
      <x:c r="G41" s="18"/>
      <x:c r="H41" s="18"/>
      <x:c r="I41" s="18"/>
    </x:row>
    <x:row r="42" ht="58" customHeight="1">
      <x:c r="A42" s="18" t="str">
        <x:v>QA-037</x:v>
      </x:c>
      <x:c r="B42" s="18" t="str">
        <x:v>Content and trust</x:v>
      </x:c>
      <x:c r="C42" s="18" t="str">
        <x:v>Check repetitive template copy, vague claims and awkward translation</x:v>
      </x:c>
      <x:c r="D42" s="18" t="str">
        <x:v>All relevant URLs / templates</x:v>
      </x:c>
      <x:c r="E42" s="18" t="str">
        <x:v>Not tested</x:v>
      </x:c>
      <x:c r="F42" s="18"/>
      <x:c r="G42" s="18"/>
      <x:c r="H42" s="18"/>
      <x:c r="I42" s="18"/>
    </x:row>
    <x:row r="43" ht="58" customHeight="1">
      <x:c r="A43" s="18" t="str">
        <x:v>QA-038</x:v>
      </x:c>
      <x:c r="B43" s="18" t="str">
        <x:v>Content and trust</x:v>
      </x:c>
      <x:c r="C43" s="18" t="str">
        <x:v>Reconcile dynamic consultation-language counts with static FAQ copy</x:v>
      </x:c>
      <x:c r="D43" s="18" t="str">
        <x:v>All relevant URLs / templates</x:v>
      </x:c>
      <x:c r="E43" s="18" t="str">
        <x:v>Not tested</x:v>
      </x:c>
      <x:c r="F43" s="18"/>
      <x:c r="G43" s="18"/>
      <x:c r="H43" s="18"/>
      <x:c r="I43" s="18"/>
    </x:row>
    <x:row r="44" ht="58" customHeight="1">
      <x:c r="A44" s="18" t="str">
        <x:v>QA-039</x:v>
      </x:c>
      <x:c r="B44" s="18" t="str">
        <x:v>Content and trust</x:v>
      </x:c>
      <x:c r="C44" s="18" t="str">
        <x:v>Check clinician titles and registration links against verified records</x:v>
      </x:c>
      <x:c r="D44" s="18" t="str">
        <x:v>All relevant URLs / templates</x:v>
      </x:c>
      <x:c r="E44" s="18" t="str">
        <x:v>Not tested</x:v>
      </x:c>
      <x:c r="F44" s="18"/>
      <x:c r="G44" s="18"/>
      <x:c r="H44" s="18"/>
      <x:c r="I44" s="18"/>
    </x:row>
    <x:row r="45" ht="58" customHeight="1">
      <x:c r="A45" s="18" t="str">
        <x:v>QA-040</x:v>
      </x:c>
      <x:c r="B45" s="18" t="str">
        <x:v>Content and trust</x:v>
      </x:c>
      <x:c r="C45" s="18" t="str">
        <x:v>Preserve actual authorship and the existing in-market clinical-approval contract</x:v>
      </x:c>
      <x:c r="D45" s="18" t="str">
        <x:v>All relevant URLs / templates</x:v>
      </x:c>
      <x:c r="E45" s="18" t="str">
        <x:v>Not tested</x:v>
      </x:c>
      <x:c r="F45" s="18"/>
      <x:c r="G45" s="18"/>
      <x:c r="H45" s="18"/>
      <x:c r="I45" s="18"/>
    </x:row>
    <x:row r="46" ht="58" customHeight="1">
      <x:c r="A46" s="18" t="str">
        <x:v>QA-041</x:v>
      </x:c>
      <x:c r="B46" s="18" t="str">
        <x:v>Content and trust</x:v>
      </x:c>
      <x:c r="C46" s="18" t="str">
        <x:v>Separate copy improvement from publication approval; preserve meaning and safety caveats</x:v>
      </x:c>
      <x:c r="D46" s="18" t="str">
        <x:v>All relevant URLs / templates</x:v>
      </x:c>
      <x:c r="E46" s="18" t="str">
        <x:v>Not tested</x:v>
      </x:c>
      <x:c r="F46" s="18"/>
      <x:c r="G46" s="18"/>
      <x:c r="H46" s="18"/>
      <x:c r="I46" s="18"/>
    </x:row>
    <x:row r="47" ht="58" customHeight="1">
      <x:c r="A47" s="18" t="str">
        <x:v>QA-042</x:v>
      </x:c>
      <x:c r="B47" s="18" t="str">
        <x:v>Content and trust</x:v>
      </x:c>
      <x:c r="C47" s="18" t="str">
        <x:v>Identify protect, improve, consolidate, translate, create and retire candidates with evidence</x:v>
      </x:c>
      <x:c r="D47" s="18" t="str">
        <x:v>All relevant URLs / templates</x:v>
      </x:c>
      <x:c r="E47" s="18" t="str">
        <x:v>Not tested</x:v>
      </x:c>
      <x:c r="F47" s="18"/>
      <x:c r="G47" s="18"/>
      <x:c r="H47" s="18"/>
      <x:c r="I47" s="18"/>
    </x:row>
    <x:row r="48" ht="58" customHeight="1">
      <x:c r="A48" s="18" t="str">
        <x:v>QA-043</x:v>
      </x:c>
      <x:c r="B48" s="18" t="str">
        <x:v>Content and trust</x:v>
      </x:c>
      <x:c r="C48" s="18" t="str">
        <x:v>Measure near-duplicate risk within comparable markets/intents, not across all translated pages</x:v>
      </x:c>
      <x:c r="D48" s="18" t="str">
        <x:v>All relevant URLs / templates</x:v>
      </x:c>
      <x:c r="E48" s="18" t="str">
        <x:v>Not tested</x:v>
      </x:c>
      <x:c r="F48" s="18"/>
      <x:c r="G48" s="18"/>
      <x:c r="H48" s="18"/>
      <x:c r="I48" s="18"/>
    </x:row>
    <x:row r="49" ht="58" customHeight="1">
      <x:c r="A49" s="18" t="str">
        <x:v>QA-044</x:v>
      </x:c>
      <x:c r="B49" s="18" t="str">
        <x:v>Analytics</x:v>
      </x:c>
      <x:c r="C49" s="18" t="str">
        <x:v>Verify production GA4 measurement ID, property timezone and stream</x:v>
      </x:c>
      <x:c r="D49" s="18" t="str">
        <x:v>All relevant URLs / templates</x:v>
      </x:c>
      <x:c r="E49" s="18" t="str">
        <x:v>Not tested</x:v>
      </x:c>
      <x:c r="F49" s="18"/>
      <x:c r="G49" s="18"/>
      <x:c r="H49" s="18"/>
      <x:c r="I49" s="18"/>
    </x:row>
    <x:row r="50" ht="58" customHeight="1">
      <x:c r="A50" s="18" t="str">
        <x:v>QA-045</x:v>
      </x:c>
      <x:c r="B50" s="18" t="str">
        <x:v>Analytics</x:v>
      </x:c>
      <x:c r="C50" s="18" t="str">
        <x:v>Test consent accepted/denied/revoked and ensure no duplicate SPA page_view collection</x:v>
      </x:c>
      <x:c r="D50" s="18" t="str">
        <x:v>All relevant URLs / templates</x:v>
      </x:c>
      <x:c r="E50" s="18" t="str">
        <x:v>Not tested</x:v>
      </x:c>
      <x:c r="F50" s="18"/>
      <x:c r="G50" s="18"/>
      <x:c r="H50" s="18"/>
      <x:c r="I50" s="18"/>
    </x:row>
    <x:row r="51" ht="58" customHeight="1">
      <x:c r="A51" s="18" t="str">
        <x:v>QA-046</x:v>
      </x:c>
      <x:c r="B51" s="18" t="str">
        <x:v>Analytics</x:v>
      </x:c>
      <x:c r="C51" s="18" t="str">
        <x:v>Check page_view, begin_booking, begin_checkout and purchase delivery separately from key-event flags</x:v>
      </x:c>
      <x:c r="D51" s="18" t="str">
        <x:v>All relevant URLs / templates</x:v>
      </x:c>
      <x:c r="E51" s="18" t="str">
        <x:v>Not tested</x:v>
      </x:c>
      <x:c r="F51" s="18"/>
      <x:c r="G51" s="18"/>
      <x:c r="H51" s="18"/>
      <x:c r="I51" s="18"/>
    </x:row>
    <x:row r="52" ht="58" customHeight="1">
      <x:c r="A52" s="18" t="str">
        <x:v>QA-047</x:v>
      </x:c>
      <x:c r="B52" s="18" t="str">
        <x:v>Analytics</x:v>
      </x:c>
      <x:c r="C52" s="18" t="str">
        <x:v>Validate safe aggregate booking/purchase measurement; exclude PII and sensitive healthcare data</x:v>
      </x:c>
      <x:c r="D52" s="18" t="str">
        <x:v>All relevant URLs / templates</x:v>
      </x:c>
      <x:c r="E52" s="18" t="str">
        <x:v>Not tested</x:v>
      </x:c>
      <x:c r="F52" s="18"/>
      <x:c r="G52" s="18"/>
      <x:c r="H52" s="18"/>
      <x:c r="I52" s="18"/>
    </x:row>
    <x:row r="53" ht="58" customHeight="1">
      <x:c r="A53" s="18" t="str">
        <x:v>QA-048</x:v>
      </x:c>
      <x:c r="B53" s="18" t="str">
        <x:v>Analytics</x:v>
      </x:c>
      <x:c r="C53" s="18" t="str">
        <x:v>Check internal/test traffic, referral pollution, cross-domain handoff and purchase deduplication</x:v>
      </x:c>
      <x:c r="D53" s="18" t="str">
        <x:v>All relevant URLs / templates</x:v>
      </x:c>
      <x:c r="E53" s="18" t="str">
        <x:v>Not tested</x:v>
      </x:c>
      <x:c r="F53" s="18"/>
      <x:c r="G53" s="18"/>
      <x:c r="H53" s="18"/>
      <x:c r="I53" s="18"/>
    </x:row>
    <x:row r="54" ht="58" customHeight="1">
      <x:c r="A54" s="18" t="str">
        <x:v>QA-049</x:v>
      </x:c>
      <x:c r="B54" s="18" t="str">
        <x:v>Analytics</x:v>
      </x:c>
      <x:c r="C54" s="18" t="str">
        <x:v>Record GA4 collection gaps and GSC/GA4 integration-link status as separate issues</x:v>
      </x:c>
      <x:c r="D54" s="18" t="str">
        <x:v>All relevant URLs / templates</x:v>
      </x:c>
      <x:c r="E54" s="18" t="str">
        <x:v>Not tested</x:v>
      </x:c>
      <x:c r="F54" s="18"/>
      <x:c r="G54" s="18"/>
      <x:c r="H54" s="18"/>
      <x:c r="I54" s="18"/>
    </x:row>
    <x:row r="55" ht="58" customHeight="1">
      <x:c r="A55" s="18" t="str">
        <x:v>QA-050</x:v>
      </x:c>
      <x:c r="B55" s="18" t="str">
        <x:v>Analytics</x:v>
      </x:c>
      <x:c r="C55" s="18" t="str">
        <x:v>Use session-scoped organic landing-page dimensions; do not sum users across dates</x:v>
      </x:c>
      <x:c r="D55" s="18" t="str">
        <x:v>All relevant URLs / templates</x:v>
      </x:c>
      <x:c r="E55" s="18" t="str">
        <x:v>Not tested</x:v>
      </x:c>
      <x:c r="F55" s="18"/>
      <x:c r="G55" s="18"/>
      <x:c r="H55" s="18"/>
      <x:c r="I55" s="18"/>
    </x:row>
    <x:row r="56" ht="58" customHeight="1">
      <x:c r="A56" s="18" t="str">
        <x:v>QA-051</x:v>
      </x:c>
      <x:c r="B56" s="18" t="str">
        <x:v>Analytics</x:v>
      </x:c>
      <x:c r="C56" s="18" t="str">
        <x:v>Reconcile GSC property totals with page/query extracts and document omitted rows</x:v>
      </x:c>
      <x:c r="D56" s="18" t="str">
        <x:v>All relevant URLs / templates</x:v>
      </x:c>
      <x:c r="E56" s="18" t="str">
        <x:v>Not tested</x:v>
      </x:c>
      <x:c r="F56" s="18"/>
      <x:c r="G56" s="18"/>
      <x:c r="H56" s="18"/>
      <x:c r="I56" s="18"/>
    </x:row>
    <x:row r="57" ht="58" customHeight="1">
      <x:c r="A57" s="18" t="str">
        <x:v>QA-052</x:v>
      </x:c>
      <x:c r="B57" s="18" t="str">
        <x:v>Analytics</x:v>
      </x:c>
      <x:c r="C57" s="18" t="str">
        <x:v>Record sampling, thresholding, other-row loss, API limits and unavailable dates</x:v>
      </x:c>
      <x:c r="D57" s="18" t="str">
        <x:v>All relevant URLs / templates</x:v>
      </x:c>
      <x:c r="E57" s="18" t="str">
        <x:v>Not tested</x:v>
      </x:c>
      <x:c r="F57" s="18"/>
      <x:c r="G57" s="18"/>
      <x:c r="H57" s="18"/>
      <x:c r="I57" s="18"/>
    </x:row>
    <x:row r="58" ht="58" customHeight="1">
      <x:c r="A58" s="18" t="str">
        <x:v>QA-053</x:v>
      </x:c>
      <x:c r="B58" s="18" t="str">
        <x:v>Performance</x:v>
      </x:c>
      <x:c r="C58" s="18" t="str">
        <x:v>Separate field Core Web Vitals from Lighthouse lab scores and record device/window</x:v>
      </x:c>
      <x:c r="D58" s="18" t="str">
        <x:v>All relevant URLs / templates</x:v>
      </x:c>
      <x:c r="E58" s="18" t="str">
        <x:v>Not tested</x:v>
      </x:c>
      <x:c r="F58" s="18"/>
      <x:c r="G58" s="18"/>
      <x:c r="H58" s="18"/>
      <x:c r="I58" s="18"/>
    </x:row>
    <x:row r="59" ht="58" customHeight="1">
      <x:c r="A59" s="18" t="str">
        <x:v>QA-054</x:v>
      </x:c>
      <x:c r="B59" s="18" t="str">
        <x:v>Performance</x:v>
      </x:c>
      <x:c r="C59" s="18" t="str">
        <x:v>Check LCP image, fonts, JavaScript/hydration, CSS, layout shift and third-party cost</x:v>
      </x:c>
      <x:c r="D59" s="18" t="str">
        <x:v>All relevant URLs / templates</x:v>
      </x:c>
      <x:c r="E59" s="18" t="str">
        <x:v>Not tested</x:v>
      </x:c>
      <x:c r="F59" s="18"/>
      <x:c r="G59" s="18"/>
      <x:c r="H59" s="18"/>
      <x:c r="I59" s="18"/>
    </x:row>
    <x:row r="60" ht="58" customHeight="1">
      <x:c r="A60" s="18" t="str">
        <x:v>QA-055</x:v>
      </x:c>
      <x:c r="B60" s="18" t="str">
        <x:v>Performance</x:v>
      </x:c>
      <x:c r="C60" s="18" t="str">
        <x:v>Compare templates across locale lengths and mobile viewport sizes</x:v>
      </x:c>
      <x:c r="D60" s="18" t="str">
        <x:v>All relevant URLs / templates</x:v>
      </x:c>
      <x:c r="E60" s="18" t="str">
        <x:v>Not tested</x:v>
      </x:c>
      <x:c r="F60" s="18"/>
      <x:c r="G60" s="18"/>
      <x:c r="H60" s="18"/>
      <x:c r="I60" s="18"/>
    </x:row>
    <x:row r="61" ht="58" customHeight="1">
      <x:c r="A61" s="18" t="str">
        <x:v>QA-056</x:v>
      </x:c>
      <x:c r="B61" s="18" t="str">
        <x:v>Performance</x:v>
      </x:c>
      <x:c r="C61" s="18" t="str">
        <x:v>Check TTFB, compression, cache policy and production-only regressions</x:v>
      </x:c>
      <x:c r="D61" s="18" t="str">
        <x:v>All relevant URLs / templates</x:v>
      </x:c>
      <x:c r="E61" s="18" t="str">
        <x:v>Not tested</x:v>
      </x:c>
      <x:c r="F61" s="18"/>
      <x:c r="G61" s="18"/>
      <x:c r="H61" s="18"/>
      <x:c r="I61" s="18"/>
    </x:row>
    <x:row r="62" ht="58" customHeight="1">
      <x:c r="A62" s="18" t="str">
        <x:v>QA-057</x:v>
      </x:c>
      <x:c r="B62" s="18" t="str">
        <x:v>Migration and authority</x:v>
      </x:c>
      <x:c r="C62" s="18" t="str">
        <x:v>Reconstruct Wix old-to-new mappings including former high-click and linked URLs</x:v>
      </x:c>
      <x:c r="D62" s="18" t="str">
        <x:v>All relevant URLs / templates</x:v>
      </x:c>
      <x:c r="E62" s="18" t="str">
        <x:v>Not tested</x:v>
      </x:c>
      <x:c r="F62" s="18"/>
      <x:c r="G62" s="18"/>
      <x:c r="H62" s="18"/>
      <x:c r="I62" s="18"/>
    </x:row>
    <x:row r="63" ht="58" customHeight="1">
      <x:c r="A63" s="18" t="str">
        <x:v>QA-058</x:v>
      </x:c>
      <x:c r="B63" s="18" t="str">
        <x:v>Migration and authority</x:v>
      </x:c>
      <x:c r="C63" s="18" t="str">
        <x:v>Test direct permanent redirects to equivalent content and intentional retirement handling</x:v>
      </x:c>
      <x:c r="D63" s="18" t="str">
        <x:v>All relevant URLs / templates</x:v>
      </x:c>
      <x:c r="E63" s="18" t="str">
        <x:v>Not tested</x:v>
      </x:c>
      <x:c r="F63" s="18"/>
      <x:c r="G63" s="18"/>
      <x:c r="H63" s="18"/>
      <x:c r="I63" s="18"/>
    </x:row>
    <x:row r="64" ht="58" customHeight="1">
      <x:c r="A64" s="18" t="str">
        <x:v>QA-059</x:v>
      </x:c>
      <x:c r="B64" s="18" t="str">
        <x:v>Migration and authority</x:v>
      </x:c>
      <x:c r="C64" s="18" t="str">
        <x:v>Compare pre-launch, post-launch and SEO-era windows without overlapping comparison periods</x:v>
      </x:c>
      <x:c r="D64" s="18" t="str">
        <x:v>All relevant URLs / templates</x:v>
      </x:c>
      <x:c r="E64" s="18" t="str">
        <x:v>Not tested</x:v>
      </x:c>
      <x:c r="F64" s="18"/>
      <x:c r="G64" s="18"/>
      <x:c r="H64" s="18"/>
      <x:c r="I64" s="18"/>
    </x:row>
    <x:row r="65" ht="58" customHeight="1">
      <x:c r="A65" s="18" t="str">
        <x:v>QA-060</x:v>
      </x:c>
      <x:c r="B65" s="18" t="str">
        <x:v>Migration and authority</x:v>
      </x:c>
      <x:c r="C65" s="18" t="str">
        <x:v>Research native-language competitors separately by market and search intent</x:v>
      </x:c>
      <x:c r="D65" s="18" t="str">
        <x:v>All relevant URLs / templates</x:v>
      </x:c>
      <x:c r="E65" s="18" t="str">
        <x:v>Not tested</x:v>
      </x:c>
      <x:c r="F65" s="18"/>
      <x:c r="G65" s="18"/>
      <x:c r="H65" s="18"/>
      <x:c r="I65" s="18"/>
    </x:row>
    <x:row r="66" ht="58" customHeight="1">
      <x:c r="A66" s="18" t="str">
        <x:v>QA-061</x:v>
      </x:c>
      <x:c r="B66" s="18" t="str">
        <x:v>Migration and authority</x:v>
      </x:c>
      <x:c r="C66" s="18" t="str">
        <x:v>Record provider/location/device/date for keyword, SERP and backlink estimates</x:v>
      </x:c>
      <x:c r="D66" s="18" t="str">
        <x:v>All relevant URLs / templates</x:v>
      </x:c>
      <x:c r="E66" s="18" t="str">
        <x:v>Not tested</x:v>
      </x:c>
      <x:c r="F66" s="18"/>
      <x:c r="G66" s="18"/>
      <x:c r="H66" s="18"/>
      <x:c r="I66" s="18"/>
    </x:row>
    <x:row r="67" ht="58" customHeight="1">
      <x:c r="A67" s="18" t="str">
        <x:v>QA-062</x:v>
      </x:c>
      <x:c r="B67" s="18" t="str">
        <x:v>Migration and authority</x:v>
      </x:c>
      <x:c r="C67" s="18" t="str">
        <x:v>Find relevant earned-link opportunities and reclaim broken existing links; no link spam</x:v>
      </x:c>
      <x:c r="D67" s="18" t="str">
        <x:v>All relevant URLs / templates</x:v>
      </x:c>
      <x:c r="E67" s="18" t="str">
        <x:v>Not tested</x:v>
      </x:c>
      <x:c r="F67" s="18"/>
      <x:c r="G67" s="18"/>
      <x:c r="H67" s="18"/>
      <x:c r="I67" s="18"/>
    </x:row>
    <x:row r="68" ht="58" customHeight="1">
      <x:c r="A68" s="18" t="str">
        <x:v>QA-063</x:v>
      </x:c>
      <x:c r="B68" s="18" t="str">
        <x:v>Operations</x:v>
      </x:c>
      <x:c r="C68" s="18" t="str">
        <x:v>Produce a repeatable append/upsert refresh process and run manifest</x:v>
      </x:c>
      <x:c r="D68" s="18" t="str">
        <x:v>All relevant URLs / templates</x:v>
      </x:c>
      <x:c r="E68" s="18" t="str">
        <x:v>Not tested</x:v>
      </x:c>
      <x:c r="F68" s="18"/>
      <x:c r="G68" s="18"/>
      <x:c r="H68" s="18"/>
      <x:c r="I68" s="18"/>
    </x:row>
    <x:row r="69" ht="58" customHeight="1">
      <x:c r="A69" s="18" t="str">
        <x:v>QA-064</x:v>
      </x:c>
      <x:c r="B69" s="18" t="str">
        <x:v>Operations</x:v>
      </x:c>
      <x:c r="C69" s="18" t="str">
        <x:v>Prevent workbook/CSV formula injection and protect credentials</x:v>
      </x:c>
      <x:c r="D69" s="18" t="str">
        <x:v>All relevant URLs / templates</x:v>
      </x:c>
      <x:c r="E69" s="18" t="str">
        <x:v>Not tested</x:v>
      </x:c>
      <x:c r="F69" s="18"/>
      <x:c r="G69" s="18"/>
      <x:c r="H69" s="18"/>
      <x:c r="I69" s="18"/>
    </x:row>
    <x:row r="70" ht="58" customHeight="1">
      <x:c r="A70" s="18" t="str">
        <x:v>QA-065</x:v>
      </x:c>
      <x:c r="B70" s="18" t="str">
        <x:v>Operations</x:v>
      </x:c>
      <x:c r="C70" s="18" t="str">
        <x:v>Document rollback and acceptance tests for each recommended fix</x:v>
      </x:c>
      <x:c r="D70" s="18" t="str">
        <x:v>All relevant URLs / templates</x:v>
      </x:c>
      <x:c r="E70" s="18" t="str">
        <x:v>Not tested</x:v>
      </x:c>
      <x:c r="F70" s="18"/>
      <x:c r="G70" s="18"/>
      <x:c r="H70" s="18"/>
      <x:c r="I70" s="18"/>
    </x:row>
    <x:row r="71" ht="58" customHeight="1">
      <x:c r="A71" s="18" t="str">
        <x:v>QA-066</x:v>
      </x:c>
      <x:c r="B71" s="18" t="str">
        <x:v>Operations</x:v>
      </x:c>
      <x:c r="C71" s="18" t="str">
        <x:v>Keep the canonical SEO ledger authoritative; reconcile proposed workbook actions before implementation</x:v>
      </x:c>
      <x:c r="D71" s="18" t="str">
        <x:v>All relevant URLs / templates</x:v>
      </x:c>
      <x:c r="E71" s="18" t="str">
        <x:v>Not tested</x:v>
      </x:c>
      <x:c r="F71" s="18"/>
      <x:c r="G71" s="18"/>
      <x:c r="H71" s="18"/>
      <x:c r="I71" s="18"/>
    </x:row>
    <x:row r="72" ht="58" customHeight="1">
      <x:c r="A72" s="18" t="str">
        <x:v>QA-067</x:v>
      </x:c>
      <x:c r="B72" s="18" t="str">
        <x:v>Operations</x:v>
      </x:c>
      <x:c r="C72" s="18" t="str">
        <x:v>Report all skipped or blocked checks and preserve reproducible evidence</x:v>
      </x:c>
      <x:c r="D72" s="18" t="str">
        <x:v>All relevant URLs / templates</x:v>
      </x:c>
      <x:c r="E72" s="18" t="str">
        <x:v>Not tested</x:v>
      </x:c>
      <x:c r="F72" s="18"/>
      <x:c r="G72" s="18"/>
      <x:c r="H72" s="18"/>
      <x:c r="I72" s="18"/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</x:row>
  </x:sheetData>
  <x:mergeCells>
    <x:mergeCell ref="A1:I1"/>
    <x:mergeCell ref="A2:I3"/>
  </x:mergeCells>
  <x:dataValidations count="1">
    <x:dataValidation type="list" sqref="E6:E505">
      <x:formula1>"Not tested,Proposed,Needs recheck,In progress,Blocked,Awaiting review,Approved,Implemented,Verified,Closed,Not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ea6aed4b1d431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8" hidden="0" customWidth="1"/>
    <x:col min="13" max="13" width="16" hidden="0" customWidth="1"/>
  </x:cols>
  <x:sheetData>
    <x:row r="1" ht="34" customHeight="1">
      <x:c r="A1" s="3" t="str">
        <x:v>LOCALE DATA QA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One row per configured combination. Test data isolation, not just the translated text.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market_locale_key</x:v>
      </x:c>
      <x:c r="B5" s="12" t="str">
        <x:v>target_country</x:v>
      </x:c>
      <x:c r="C5" s="12" t="str">
        <x:v>language</x:v>
      </x:c>
      <x:c r="D5" s="12" t="str">
        <x:v>configured_path</x:v>
      </x:c>
      <x:c r="E5" s="12" t="str">
        <x:v>runtime_enabled</x:v>
      </x:c>
      <x:c r="F5" s="12" t="str">
        <x:v>data_filter_check</x:v>
      </x:c>
      <x:c r="G5" s="12" t="str">
        <x:v>cache_isolation</x:v>
      </x:c>
      <x:c r="H5" s="12" t="str">
        <x:v>fallback_language</x:v>
      </x:c>
      <x:c r="I5" s="12" t="str">
        <x:v>price_currency</x:v>
      </x:c>
      <x:c r="J5" s="12" t="str">
        <x:v>booking_context</x:v>
      </x:c>
      <x:c r="K5" s="12" t="str">
        <x:v>clinical_availability</x:v>
      </x:c>
      <x:c r="L5" s="12" t="str">
        <x:v>evidence</x:v>
      </x:c>
      <x:c r="M5" s="12" t="str">
        <x:v>checked_at</x:v>
      </x:c>
    </x:row>
    <x:row r="6" ht="30" customHeight="1">
      <x:c r="A6" s="18" t="str">
        <x:v>IE|en</x:v>
      </x:c>
      <x:c r="B6" s="18" t="str">
        <x:v>Ireland</x:v>
      </x:c>
      <x:c r="C6" s="18" t="str">
        <x:v>en</x:v>
      </x:c>
      <x:c r="D6" s="18" t="str">
        <x:v>/ireland/en</x:v>
      </x:c>
      <x:c r="E6" s="18" t="str">
        <x:v>Not tested</x:v>
      </x:c>
      <x:c r="F6" s="18" t="str">
        <x:v>Not tested</x:v>
      </x:c>
      <x:c r="G6" s="18" t="str">
        <x:v>Not tested</x:v>
      </x:c>
      <x:c r="H6" s="18" t="str">
        <x:v>Not tested</x:v>
      </x:c>
      <x:c r="I6" s="18" t="str">
        <x:v>Not tested</x:v>
      </x:c>
      <x:c r="J6" s="18" t="str">
        <x:v>Not tested</x:v>
      </x:c>
      <x:c r="K6" s="18" t="str">
        <x:v>Not tested</x:v>
      </x:c>
      <x:c r="L6" s="18"/>
      <x:c r="M6" s="22"/>
    </x:row>
    <x:row r="7" ht="30" customHeight="1">
      <x:c r="A7" s="18" t="str">
        <x:v>IE|pt</x:v>
      </x:c>
      <x:c r="B7" s="18" t="str">
        <x:v>Ireland</x:v>
      </x:c>
      <x:c r="C7" s="18" t="str">
        <x:v>pt</x:v>
      </x:c>
      <x:c r="D7" s="18" t="str">
        <x:v>/ireland/pt</x:v>
      </x:c>
      <x:c r="E7" s="18" t="str">
        <x:v>Not tested</x:v>
      </x:c>
      <x:c r="F7" s="18" t="str">
        <x:v>Not tested</x:v>
      </x:c>
      <x:c r="G7" s="18" t="str">
        <x:v>Not tested</x:v>
      </x:c>
      <x:c r="H7" s="18" t="str">
        <x:v>Not tested</x:v>
      </x:c>
      <x:c r="I7" s="18" t="str">
        <x:v>Not tested</x:v>
      </x:c>
      <x:c r="J7" s="18" t="str">
        <x:v>Not tested</x:v>
      </x:c>
      <x:c r="K7" s="18" t="str">
        <x:v>Not tested</x:v>
      </x:c>
      <x:c r="L7" s="18"/>
      <x:c r="M7" s="22"/>
    </x:row>
    <x:row r="8" ht="30" customHeight="1">
      <x:c r="A8" s="18" t="str">
        <x:v>IE|es</x:v>
      </x:c>
      <x:c r="B8" s="18" t="str">
        <x:v>Ireland</x:v>
      </x:c>
      <x:c r="C8" s="18" t="str">
        <x:v>es</x:v>
      </x:c>
      <x:c r="D8" s="18" t="str">
        <x:v>/ireland/es</x:v>
      </x:c>
      <x:c r="E8" s="18" t="str">
        <x:v>Not tested</x:v>
      </x:c>
      <x:c r="F8" s="18" t="str">
        <x:v>Not tested</x:v>
      </x:c>
      <x:c r="G8" s="18" t="str">
        <x:v>Not tested</x:v>
      </x:c>
      <x:c r="H8" s="18" t="str">
        <x:v>Not tested</x:v>
      </x:c>
      <x:c r="I8" s="18" t="str">
        <x:v>Not tested</x:v>
      </x:c>
      <x:c r="J8" s="18" t="str">
        <x:v>Not tested</x:v>
      </x:c>
      <x:c r="K8" s="18" t="str">
        <x:v>Not tested</x:v>
      </x:c>
      <x:c r="L8" s="18"/>
      <x:c r="M8" s="22"/>
    </x:row>
    <x:row r="9" ht="30" customHeight="1">
      <x:c r="A9" s="18" t="str">
        <x:v>IE|cs</x:v>
      </x:c>
      <x:c r="B9" s="18" t="str">
        <x:v>Ireland</x:v>
      </x:c>
      <x:c r="C9" s="18" t="str">
        <x:v>cs</x:v>
      </x:c>
      <x:c r="D9" s="18" t="str">
        <x:v>/ireland/cs</x:v>
      </x:c>
      <x:c r="E9" s="18" t="str">
        <x:v>Not tested</x:v>
      </x:c>
      <x:c r="F9" s="18" t="str">
        <x:v>Not tested</x:v>
      </x:c>
      <x:c r="G9" s="18" t="str">
        <x:v>Not tested</x:v>
      </x:c>
      <x:c r="H9" s="18" t="str">
        <x:v>Not tested</x:v>
      </x:c>
      <x:c r="I9" s="18" t="str">
        <x:v>Not tested</x:v>
      </x:c>
      <x:c r="J9" s="18" t="str">
        <x:v>Not tested</x:v>
      </x:c>
      <x:c r="K9" s="18" t="str">
        <x:v>Not tested</x:v>
      </x:c>
      <x:c r="L9" s="18"/>
      <x:c r="M9" s="22"/>
    </x:row>
    <x:row r="10" ht="30" customHeight="1">
      <x:c r="A10" s="18" t="str">
        <x:v>IE|ro</x:v>
      </x:c>
      <x:c r="B10" s="18" t="str">
        <x:v>Ireland</x:v>
      </x:c>
      <x:c r="C10" s="18" t="str">
        <x:v>ro</x:v>
      </x:c>
      <x:c r="D10" s="18" t="str">
        <x:v>/ireland/ro</x:v>
      </x:c>
      <x:c r="E10" s="18" t="str">
        <x:v>Not tested</x:v>
      </x:c>
      <x:c r="F10" s="18" t="str">
        <x:v>Not tested</x:v>
      </x:c>
      <x:c r="G10" s="18" t="str">
        <x:v>Not tested</x:v>
      </x:c>
      <x:c r="H10" s="18" t="str">
        <x:v>Not tested</x:v>
      </x:c>
      <x:c r="I10" s="18" t="str">
        <x:v>Not tested</x:v>
      </x:c>
      <x:c r="J10" s="18" t="str">
        <x:v>Not tested</x:v>
      </x:c>
      <x:c r="K10" s="18" t="str">
        <x:v>Not tested</x:v>
      </x:c>
      <x:c r="L10" s="18"/>
      <x:c r="M10" s="22"/>
    </x:row>
    <x:row r="11" ht="30" customHeight="1">
      <x:c r="A11" s="18" t="str">
        <x:v>IE|de</x:v>
      </x:c>
      <x:c r="B11" s="18" t="str">
        <x:v>Ireland</x:v>
      </x:c>
      <x:c r="C11" s="18" t="str">
        <x:v>de</x:v>
      </x:c>
      <x:c r="D11" s="18" t="str">
        <x:v>/ireland/de</x:v>
      </x:c>
      <x:c r="E11" s="18" t="str">
        <x:v>Not tested</x:v>
      </x:c>
      <x:c r="F11" s="18" t="str">
        <x:v>Not tested</x:v>
      </x:c>
      <x:c r="G11" s="18" t="str">
        <x:v>Not tested</x:v>
      </x:c>
      <x:c r="H11" s="18" t="str">
        <x:v>Not tested</x:v>
      </x:c>
      <x:c r="I11" s="18" t="str">
        <x:v>Not tested</x:v>
      </x:c>
      <x:c r="J11" s="18" t="str">
        <x:v>Not tested</x:v>
      </x:c>
      <x:c r="K11" s="18" t="str">
        <x:v>Not tested</x:v>
      </x:c>
      <x:c r="L11" s="18"/>
      <x:c r="M11" s="22"/>
    </x:row>
    <x:row r="12" ht="30" customHeight="1">
      <x:c r="A12" s="18" t="str">
        <x:v>CZ|cs</x:v>
      </x:c>
      <x:c r="B12" s="18" t="str">
        <x:v>Czechia</x:v>
      </x:c>
      <x:c r="C12" s="18" t="str">
        <x:v>cs</x:v>
      </x:c>
      <x:c r="D12" s="18" t="str">
        <x:v>/czechia/cs</x:v>
      </x:c>
      <x:c r="E12" s="18" t="str">
        <x:v>Not tested</x:v>
      </x:c>
      <x:c r="F12" s="18" t="str">
        <x:v>Not tested</x:v>
      </x:c>
      <x:c r="G12" s="18" t="str">
        <x:v>Not tested</x:v>
      </x:c>
      <x:c r="H12" s="18" t="str">
        <x:v>Not tested</x:v>
      </x:c>
      <x:c r="I12" s="18" t="str">
        <x:v>Not tested</x:v>
      </x:c>
      <x:c r="J12" s="18" t="str">
        <x:v>Not tested</x:v>
      </x:c>
      <x:c r="K12" s="18" t="str">
        <x:v>Not tested</x:v>
      </x:c>
      <x:c r="L12" s="18"/>
      <x:c r="M12" s="22"/>
    </x:row>
    <x:row r="13" ht="30" customHeight="1">
      <x:c r="A13" s="18" t="str">
        <x:v>CZ|en</x:v>
      </x:c>
      <x:c r="B13" s="18" t="str">
        <x:v>Czechia</x:v>
      </x:c>
      <x:c r="C13" s="18" t="str">
        <x:v>en</x:v>
      </x:c>
      <x:c r="D13" s="18" t="str">
        <x:v>/czechia/en</x:v>
      </x:c>
      <x:c r="E13" s="18" t="str">
        <x:v>Not tested</x:v>
      </x:c>
      <x:c r="F13" s="18" t="str">
        <x:v>Not tested</x:v>
      </x:c>
      <x:c r="G13" s="18" t="str">
        <x:v>Not tested</x:v>
      </x:c>
      <x:c r="H13" s="18" t="str">
        <x:v>Not tested</x:v>
      </x:c>
      <x:c r="I13" s="18" t="str">
        <x:v>Not tested</x:v>
      </x:c>
      <x:c r="J13" s="18" t="str">
        <x:v>Not tested</x:v>
      </x:c>
      <x:c r="K13" s="18" t="str">
        <x:v>Not tested</x:v>
      </x:c>
      <x:c r="L13" s="18"/>
      <x:c r="M13" s="22"/>
    </x:row>
    <x:row r="14" ht="30" customHeight="1">
      <x:c r="A14" s="18" t="str">
        <x:v>CZ|pt</x:v>
      </x:c>
      <x:c r="B14" s="18" t="str">
        <x:v>Czechia</x:v>
      </x:c>
      <x:c r="C14" s="18" t="str">
        <x:v>pt</x:v>
      </x:c>
      <x:c r="D14" s="18" t="str">
        <x:v>/czechia/pt</x:v>
      </x:c>
      <x:c r="E14" s="18" t="str">
        <x:v>Not tested</x:v>
      </x:c>
      <x:c r="F14" s="18" t="str">
        <x:v>Not tested</x:v>
      </x:c>
      <x:c r="G14" s="18" t="str">
        <x:v>Not tested</x:v>
      </x:c>
      <x:c r="H14" s="18" t="str">
        <x:v>Not tested</x:v>
      </x:c>
      <x:c r="I14" s="18" t="str">
        <x:v>Not tested</x:v>
      </x:c>
      <x:c r="J14" s="18" t="str">
        <x:v>Not tested</x:v>
      </x:c>
      <x:c r="K14" s="18" t="str">
        <x:v>Not tested</x:v>
      </x:c>
      <x:c r="L14" s="18"/>
      <x:c r="M14" s="22"/>
    </x:row>
    <x:row r="15" ht="30" customHeight="1">
      <x:c r="A15" s="18" t="str">
        <x:v>CZ|es</x:v>
      </x:c>
      <x:c r="B15" s="18" t="str">
        <x:v>Czechia</x:v>
      </x:c>
      <x:c r="C15" s="18" t="str">
        <x:v>es</x:v>
      </x:c>
      <x:c r="D15" s="18" t="str">
        <x:v>/czechia/es</x:v>
      </x:c>
      <x:c r="E15" s="18" t="str">
        <x:v>Not tested</x:v>
      </x:c>
      <x:c r="F15" s="18" t="str">
        <x:v>Not tested</x:v>
      </x:c>
      <x:c r="G15" s="18" t="str">
        <x:v>Not tested</x:v>
      </x:c>
      <x:c r="H15" s="18" t="str">
        <x:v>Not tested</x:v>
      </x:c>
      <x:c r="I15" s="18" t="str">
        <x:v>Not tested</x:v>
      </x:c>
      <x:c r="J15" s="18" t="str">
        <x:v>Not tested</x:v>
      </x:c>
      <x:c r="K15" s="18" t="str">
        <x:v>Not tested</x:v>
      </x:c>
      <x:c r="L15" s="18"/>
      <x:c r="M15" s="22"/>
    </x:row>
    <x:row r="16" ht="30" customHeight="1">
      <x:c r="A16" s="18" t="str">
        <x:v>CZ|ro</x:v>
      </x:c>
      <x:c r="B16" s="18" t="str">
        <x:v>Czechia</x:v>
      </x:c>
      <x:c r="C16" s="18" t="str">
        <x:v>ro</x:v>
      </x:c>
      <x:c r="D16" s="18" t="str">
        <x:v>/czechia/ro</x:v>
      </x:c>
      <x:c r="E16" s="18" t="str">
        <x:v>Not tested</x:v>
      </x:c>
      <x:c r="F16" s="18" t="str">
        <x:v>Not tested</x:v>
      </x:c>
      <x:c r="G16" s="18" t="str">
        <x:v>Not tested</x:v>
      </x:c>
      <x:c r="H16" s="18" t="str">
        <x:v>Not tested</x:v>
      </x:c>
      <x:c r="I16" s="18" t="str">
        <x:v>Not tested</x:v>
      </x:c>
      <x:c r="J16" s="18" t="str">
        <x:v>Not tested</x:v>
      </x:c>
      <x:c r="K16" s="18" t="str">
        <x:v>Not tested</x:v>
      </x:c>
      <x:c r="L16" s="18"/>
      <x:c r="M16" s="22"/>
    </x:row>
    <x:row r="17" ht="30" customHeight="1">
      <x:c r="A17" s="18" t="str">
        <x:v>CZ|de</x:v>
      </x:c>
      <x:c r="B17" s="18" t="str">
        <x:v>Czechia</x:v>
      </x:c>
      <x:c r="C17" s="18" t="str">
        <x:v>de</x:v>
      </x:c>
      <x:c r="D17" s="18" t="str">
        <x:v>/czechia/de</x:v>
      </x:c>
      <x:c r="E17" s="18" t="str">
        <x:v>Not tested</x:v>
      </x:c>
      <x:c r="F17" s="18" t="str">
        <x:v>Not tested</x:v>
      </x:c>
      <x:c r="G17" s="18" t="str">
        <x:v>Not tested</x:v>
      </x:c>
      <x:c r="H17" s="18" t="str">
        <x:v>Not tested</x:v>
      </x:c>
      <x:c r="I17" s="18" t="str">
        <x:v>Not tested</x:v>
      </x:c>
      <x:c r="J17" s="18" t="str">
        <x:v>Not tested</x:v>
      </x:c>
      <x:c r="K17" s="18" t="str">
        <x:v>Not tested</x:v>
      </x:c>
      <x:c r="L17" s="18"/>
      <x:c r="M17" s="22"/>
    </x:row>
    <x:row r="18" ht="30" customHeight="1">
      <x:c r="A18" s="18" t="str">
        <x:v>PT|pt</x:v>
      </x:c>
      <x:c r="B18" s="18" t="str">
        <x:v>Portugal</x:v>
      </x:c>
      <x:c r="C18" s="18" t="str">
        <x:v>pt</x:v>
      </x:c>
      <x:c r="D18" s="18" t="str">
        <x:v>/portugal/pt</x:v>
      </x:c>
      <x:c r="E18" s="18" t="str">
        <x:v>Not tested</x:v>
      </x:c>
      <x:c r="F18" s="18" t="str">
        <x:v>Not tested</x:v>
      </x:c>
      <x:c r="G18" s="18" t="str">
        <x:v>Not tested</x:v>
      </x:c>
      <x:c r="H18" s="18" t="str">
        <x:v>Not tested</x:v>
      </x:c>
      <x:c r="I18" s="18" t="str">
        <x:v>Not tested</x:v>
      </x:c>
      <x:c r="J18" s="18" t="str">
        <x:v>Not tested</x:v>
      </x:c>
      <x:c r="K18" s="18" t="str">
        <x:v>Not tested</x:v>
      </x:c>
      <x:c r="L18" s="18"/>
      <x:c r="M18" s="22"/>
    </x:row>
    <x:row r="19" ht="30" customHeight="1">
      <x:c r="A19" s="18" t="str">
        <x:v>PT|en</x:v>
      </x:c>
      <x:c r="B19" s="18" t="str">
        <x:v>Portugal</x:v>
      </x:c>
      <x:c r="C19" s="18" t="str">
        <x:v>en</x:v>
      </x:c>
      <x:c r="D19" s="18" t="str">
        <x:v>/portugal/en</x:v>
      </x:c>
      <x:c r="E19" s="18" t="str">
        <x:v>Not tested</x:v>
      </x:c>
      <x:c r="F19" s="18" t="str">
        <x:v>Not tested</x:v>
      </x:c>
      <x:c r="G19" s="18" t="str">
        <x:v>Not tested</x:v>
      </x:c>
      <x:c r="H19" s="18" t="str">
        <x:v>Not tested</x:v>
      </x:c>
      <x:c r="I19" s="18" t="str">
        <x:v>Not tested</x:v>
      </x:c>
      <x:c r="J19" s="18" t="str">
        <x:v>Not tested</x:v>
      </x:c>
      <x:c r="K19" s="18" t="str">
        <x:v>Not tested</x:v>
      </x:c>
      <x:c r="L19" s="18"/>
      <x:c r="M19" s="22"/>
    </x:row>
    <x:row r="20" ht="30" customHeight="1">
      <x:c r="A20" s="18" t="str">
        <x:v>PT|es</x:v>
      </x:c>
      <x:c r="B20" s="18" t="str">
        <x:v>Portugal</x:v>
      </x:c>
      <x:c r="C20" s="18" t="str">
        <x:v>es</x:v>
      </x:c>
      <x:c r="D20" s="18" t="str">
        <x:v>/portugal/es</x:v>
      </x:c>
      <x:c r="E20" s="18" t="str">
        <x:v>Not tested</x:v>
      </x:c>
      <x:c r="F20" s="18" t="str">
        <x:v>Not tested</x:v>
      </x:c>
      <x:c r="G20" s="18" t="str">
        <x:v>Not tested</x:v>
      </x:c>
      <x:c r="H20" s="18" t="str">
        <x:v>Not tested</x:v>
      </x:c>
      <x:c r="I20" s="18" t="str">
        <x:v>Not tested</x:v>
      </x:c>
      <x:c r="J20" s="18" t="str">
        <x:v>Not tested</x:v>
      </x:c>
      <x:c r="K20" s="18" t="str">
        <x:v>Not tested</x:v>
      </x:c>
      <x:c r="L20" s="18"/>
      <x:c r="M20" s="22"/>
    </x:row>
    <x:row r="21" ht="30" customHeight="1">
      <x:c r="A21" s="18" t="str">
        <x:v>PT|cs</x:v>
      </x:c>
      <x:c r="B21" s="18" t="str">
        <x:v>Portugal</x:v>
      </x:c>
      <x:c r="C21" s="18" t="str">
        <x:v>cs</x:v>
      </x:c>
      <x:c r="D21" s="18" t="str">
        <x:v>/portugal/cs</x:v>
      </x:c>
      <x:c r="E21" s="18" t="str">
        <x:v>Not tested</x:v>
      </x:c>
      <x:c r="F21" s="18" t="str">
        <x:v>Not tested</x:v>
      </x:c>
      <x:c r="G21" s="18" t="str">
        <x:v>Not tested</x:v>
      </x:c>
      <x:c r="H21" s="18" t="str">
        <x:v>Not tested</x:v>
      </x:c>
      <x:c r="I21" s="18" t="str">
        <x:v>Not tested</x:v>
      </x:c>
      <x:c r="J21" s="18" t="str">
        <x:v>Not tested</x:v>
      </x:c>
      <x:c r="K21" s="18" t="str">
        <x:v>Not tested</x:v>
      </x:c>
      <x:c r="L21" s="18"/>
      <x:c r="M21" s="22"/>
    </x:row>
    <x:row r="22" ht="30" customHeight="1">
      <x:c r="A22" s="18" t="str">
        <x:v>PT|ro</x:v>
      </x:c>
      <x:c r="B22" s="18" t="str">
        <x:v>Portugal</x:v>
      </x:c>
      <x:c r="C22" s="18" t="str">
        <x:v>ro</x:v>
      </x:c>
      <x:c r="D22" s="18" t="str">
        <x:v>/portugal/ro</x:v>
      </x:c>
      <x:c r="E22" s="18" t="str">
        <x:v>Not tested</x:v>
      </x:c>
      <x:c r="F22" s="18" t="str">
        <x:v>Not tested</x:v>
      </x:c>
      <x:c r="G22" s="18" t="str">
        <x:v>Not tested</x:v>
      </x:c>
      <x:c r="H22" s="18" t="str">
        <x:v>Not tested</x:v>
      </x:c>
      <x:c r="I22" s="18" t="str">
        <x:v>Not tested</x:v>
      </x:c>
      <x:c r="J22" s="18" t="str">
        <x:v>Not tested</x:v>
      </x:c>
      <x:c r="K22" s="18" t="str">
        <x:v>Not tested</x:v>
      </x:c>
      <x:c r="L22" s="18"/>
      <x:c r="M22" s="22"/>
    </x:row>
    <x:row r="23" ht="30" customHeight="1">
      <x:c r="A23" s="18" t="str">
        <x:v>PT|de</x:v>
      </x:c>
      <x:c r="B23" s="18" t="str">
        <x:v>Portugal</x:v>
      </x:c>
      <x:c r="C23" s="18" t="str">
        <x:v>de</x:v>
      </x:c>
      <x:c r="D23" s="18" t="str">
        <x:v>/portugal/de</x:v>
      </x:c>
      <x:c r="E23" s="18" t="str">
        <x:v>Not tested</x:v>
      </x:c>
      <x:c r="F23" s="18" t="str">
        <x:v>Not tested</x:v>
      </x:c>
      <x:c r="G23" s="18" t="str">
        <x:v>Not tested</x:v>
      </x:c>
      <x:c r="H23" s="18" t="str">
        <x:v>Not tested</x:v>
      </x:c>
      <x:c r="I23" s="18" t="str">
        <x:v>Not tested</x:v>
      </x:c>
      <x:c r="J23" s="18" t="str">
        <x:v>Not tested</x:v>
      </x:c>
      <x:c r="K23" s="18" t="str">
        <x:v>Not tested</x:v>
      </x:c>
      <x:c r="L23" s="18"/>
      <x:c r="M23" s="22"/>
    </x:row>
    <x:row r="24" ht="30" customHeight="1">
      <x:c r="A24" s="18" t="str">
        <x:v>ES|es</x:v>
      </x:c>
      <x:c r="B24" s="18" t="str">
        <x:v>Spain</x:v>
      </x:c>
      <x:c r="C24" s="18" t="str">
        <x:v>es</x:v>
      </x:c>
      <x:c r="D24" s="18" t="str">
        <x:v>/spain/es</x:v>
      </x:c>
      <x:c r="E24" s="18" t="str">
        <x:v>Not tested</x:v>
      </x:c>
      <x:c r="F24" s="18" t="str">
        <x:v>Not tested</x:v>
      </x:c>
      <x:c r="G24" s="18" t="str">
        <x:v>Not tested</x:v>
      </x:c>
      <x:c r="H24" s="18" t="str">
        <x:v>Not tested</x:v>
      </x:c>
      <x:c r="I24" s="18" t="str">
        <x:v>Not tested</x:v>
      </x:c>
      <x:c r="J24" s="18" t="str">
        <x:v>Not tested</x:v>
      </x:c>
      <x:c r="K24" s="18" t="str">
        <x:v>Not tested</x:v>
      </x:c>
      <x:c r="L24" s="18"/>
      <x:c r="M24" s="22"/>
    </x:row>
    <x:row r="25" ht="30" customHeight="1">
      <x:c r="A25" s="18" t="str">
        <x:v>ES|en</x:v>
      </x:c>
      <x:c r="B25" s="18" t="str">
        <x:v>Spain</x:v>
      </x:c>
      <x:c r="C25" s="18" t="str">
        <x:v>en</x:v>
      </x:c>
      <x:c r="D25" s="18" t="str">
        <x:v>/spain/en</x:v>
      </x:c>
      <x:c r="E25" s="18" t="str">
        <x:v>Not tested</x:v>
      </x:c>
      <x:c r="F25" s="18" t="str">
        <x:v>Not tested</x:v>
      </x:c>
      <x:c r="G25" s="18" t="str">
        <x:v>Not tested</x:v>
      </x:c>
      <x:c r="H25" s="18" t="str">
        <x:v>Not tested</x:v>
      </x:c>
      <x:c r="I25" s="18" t="str">
        <x:v>Not tested</x:v>
      </x:c>
      <x:c r="J25" s="18" t="str">
        <x:v>Not tested</x:v>
      </x:c>
      <x:c r="K25" s="18" t="str">
        <x:v>Not tested</x:v>
      </x:c>
      <x:c r="L25" s="18"/>
      <x:c r="M25" s="22"/>
    </x:row>
    <x:row r="26" ht="30" customHeight="1">
      <x:c r="A26" s="18" t="str">
        <x:v>ES|pt</x:v>
      </x:c>
      <x:c r="B26" s="18" t="str">
        <x:v>Spain</x:v>
      </x:c>
      <x:c r="C26" s="18" t="str">
        <x:v>pt</x:v>
      </x:c>
      <x:c r="D26" s="18" t="str">
        <x:v>/spain/pt</x:v>
      </x:c>
      <x:c r="E26" s="18" t="str">
        <x:v>Not tested</x:v>
      </x:c>
      <x:c r="F26" s="18" t="str">
        <x:v>Not tested</x:v>
      </x:c>
      <x:c r="G26" s="18" t="str">
        <x:v>Not tested</x:v>
      </x:c>
      <x:c r="H26" s="18" t="str">
        <x:v>Not tested</x:v>
      </x:c>
      <x:c r="I26" s="18" t="str">
        <x:v>Not tested</x:v>
      </x:c>
      <x:c r="J26" s="18" t="str">
        <x:v>Not tested</x:v>
      </x:c>
      <x:c r="K26" s="18" t="str">
        <x:v>Not tested</x:v>
      </x:c>
      <x:c r="L26" s="18"/>
      <x:c r="M26" s="22"/>
    </x:row>
    <x:row r="27" ht="30" customHeight="1">
      <x:c r="A27" s="18" t="str">
        <x:v>ES|cs</x:v>
      </x:c>
      <x:c r="B27" s="18" t="str">
        <x:v>Spain</x:v>
      </x:c>
      <x:c r="C27" s="18" t="str">
        <x:v>cs</x:v>
      </x:c>
      <x:c r="D27" s="18" t="str">
        <x:v>/spain/cs</x:v>
      </x:c>
      <x:c r="E27" s="18" t="str">
        <x:v>Not tested</x:v>
      </x:c>
      <x:c r="F27" s="18" t="str">
        <x:v>Not tested</x:v>
      </x:c>
      <x:c r="G27" s="18" t="str">
        <x:v>Not tested</x:v>
      </x:c>
      <x:c r="H27" s="18" t="str">
        <x:v>Not tested</x:v>
      </x:c>
      <x:c r="I27" s="18" t="str">
        <x:v>Not tested</x:v>
      </x:c>
      <x:c r="J27" s="18" t="str">
        <x:v>Not tested</x:v>
      </x:c>
      <x:c r="K27" s="18" t="str">
        <x:v>Not tested</x:v>
      </x:c>
      <x:c r="L27" s="18"/>
      <x:c r="M27" s="22"/>
    </x:row>
    <x:row r="28" ht="30" customHeight="1">
      <x:c r="A28" s="18" t="str">
        <x:v>ES|ro</x:v>
      </x:c>
      <x:c r="B28" s="18" t="str">
        <x:v>Spain</x:v>
      </x:c>
      <x:c r="C28" s="18" t="str">
        <x:v>ro</x:v>
      </x:c>
      <x:c r="D28" s="18" t="str">
        <x:v>/spain/ro</x:v>
      </x:c>
      <x:c r="E28" s="18" t="str">
        <x:v>Not tested</x:v>
      </x:c>
      <x:c r="F28" s="18" t="str">
        <x:v>Not tested</x:v>
      </x:c>
      <x:c r="G28" s="18" t="str">
        <x:v>Not tested</x:v>
      </x:c>
      <x:c r="H28" s="18" t="str">
        <x:v>Not tested</x:v>
      </x:c>
      <x:c r="I28" s="18" t="str">
        <x:v>Not tested</x:v>
      </x:c>
      <x:c r="J28" s="18" t="str">
        <x:v>Not tested</x:v>
      </x:c>
      <x:c r="K28" s="18" t="str">
        <x:v>Not tested</x:v>
      </x:c>
      <x:c r="L28" s="18"/>
      <x:c r="M28" s="22"/>
    </x:row>
    <x:row r="29" ht="30" customHeight="1">
      <x:c r="A29" s="18" t="str">
        <x:v>ES|de</x:v>
      </x:c>
      <x:c r="B29" s="18" t="str">
        <x:v>Spain</x:v>
      </x:c>
      <x:c r="C29" s="18" t="str">
        <x:v>de</x:v>
      </x:c>
      <x:c r="D29" s="18" t="str">
        <x:v>/spain/de</x:v>
      </x:c>
      <x:c r="E29" s="18" t="str">
        <x:v>Not tested</x:v>
      </x:c>
      <x:c r="F29" s="18" t="str">
        <x:v>Not tested</x:v>
      </x:c>
      <x:c r="G29" s="18" t="str">
        <x:v>Not tested</x:v>
      </x:c>
      <x:c r="H29" s="18" t="str">
        <x:v>Not tested</x:v>
      </x:c>
      <x:c r="I29" s="18" t="str">
        <x:v>Not tested</x:v>
      </x:c>
      <x:c r="J29" s="18" t="str">
        <x:v>Not tested</x:v>
      </x:c>
      <x:c r="K29" s="18" t="str">
        <x:v>Not tested</x:v>
      </x:c>
      <x:c r="L29" s="18"/>
      <x:c r="M29" s="22"/>
    </x:row>
    <x:row r="30" ht="30" customHeight="1">
      <x:c r="A30" s="18" t="str">
        <x:v>RO|ro</x:v>
      </x:c>
      <x:c r="B30" s="18" t="str">
        <x:v>Romania</x:v>
      </x:c>
      <x:c r="C30" s="18" t="str">
        <x:v>ro</x:v>
      </x:c>
      <x:c r="D30" s="18" t="str">
        <x:v>/romania/ro</x:v>
      </x:c>
      <x:c r="E30" s="18" t="str">
        <x:v>Not tested</x:v>
      </x:c>
      <x:c r="F30" s="18" t="str">
        <x:v>Not tested</x:v>
      </x:c>
      <x:c r="G30" s="18" t="str">
        <x:v>Not tested</x:v>
      </x:c>
      <x:c r="H30" s="18" t="str">
        <x:v>Not tested</x:v>
      </x:c>
      <x:c r="I30" s="18" t="str">
        <x:v>Not tested</x:v>
      </x:c>
      <x:c r="J30" s="18" t="str">
        <x:v>Not tested</x:v>
      </x:c>
      <x:c r="K30" s="18" t="str">
        <x:v>Not tested</x:v>
      </x:c>
      <x:c r="L30" s="18"/>
      <x:c r="M30" s="22"/>
    </x:row>
    <x:row r="31" ht="30" customHeight="1">
      <x:c r="A31" s="18" t="str">
        <x:v>RO|en</x:v>
      </x:c>
      <x:c r="B31" s="18" t="str">
        <x:v>Romania</x:v>
      </x:c>
      <x:c r="C31" s="18" t="str">
        <x:v>en</x:v>
      </x:c>
      <x:c r="D31" s="18" t="str">
        <x:v>/romania/en</x:v>
      </x:c>
      <x:c r="E31" s="18" t="str">
        <x:v>Not tested</x:v>
      </x:c>
      <x:c r="F31" s="18" t="str">
        <x:v>Not tested</x:v>
      </x:c>
      <x:c r="G31" s="18" t="str">
        <x:v>Not tested</x:v>
      </x:c>
      <x:c r="H31" s="18" t="str">
        <x:v>Not tested</x:v>
      </x:c>
      <x:c r="I31" s="18" t="str">
        <x:v>Not tested</x:v>
      </x:c>
      <x:c r="J31" s="18" t="str">
        <x:v>Not tested</x:v>
      </x:c>
      <x:c r="K31" s="18" t="str">
        <x:v>Not tested</x:v>
      </x:c>
      <x:c r="L31" s="18"/>
      <x:c r="M31" s="22"/>
    </x:row>
    <x:row r="32" ht="30" customHeight="1">
      <x:c r="A32" s="18" t="str">
        <x:v>RO|pt</x:v>
      </x:c>
      <x:c r="B32" s="18" t="str">
        <x:v>Romania</x:v>
      </x:c>
      <x:c r="C32" s="18" t="str">
        <x:v>pt</x:v>
      </x:c>
      <x:c r="D32" s="18" t="str">
        <x:v>/romania/pt</x:v>
      </x:c>
      <x:c r="E32" s="18" t="str">
        <x:v>Not tested</x:v>
      </x:c>
      <x:c r="F32" s="18" t="str">
        <x:v>Not tested</x:v>
      </x:c>
      <x:c r="G32" s="18" t="str">
        <x:v>Not tested</x:v>
      </x:c>
      <x:c r="H32" s="18" t="str">
        <x:v>Not tested</x:v>
      </x:c>
      <x:c r="I32" s="18" t="str">
        <x:v>Not tested</x:v>
      </x:c>
      <x:c r="J32" s="18" t="str">
        <x:v>Not tested</x:v>
      </x:c>
      <x:c r="K32" s="18" t="str">
        <x:v>Not tested</x:v>
      </x:c>
      <x:c r="L32" s="18"/>
      <x:c r="M32" s="22"/>
    </x:row>
    <x:row r="33" ht="30" customHeight="1">
      <x:c r="A33" s="18" t="str">
        <x:v>RO|es</x:v>
      </x:c>
      <x:c r="B33" s="18" t="str">
        <x:v>Romania</x:v>
      </x:c>
      <x:c r="C33" s="18" t="str">
        <x:v>es</x:v>
      </x:c>
      <x:c r="D33" s="18" t="str">
        <x:v>/romania/es</x:v>
      </x:c>
      <x:c r="E33" s="18" t="str">
        <x:v>Not tested</x:v>
      </x:c>
      <x:c r="F33" s="18" t="str">
        <x:v>Not tested</x:v>
      </x:c>
      <x:c r="G33" s="18" t="str">
        <x:v>Not tested</x:v>
      </x:c>
      <x:c r="H33" s="18" t="str">
        <x:v>Not tested</x:v>
      </x:c>
      <x:c r="I33" s="18" t="str">
        <x:v>Not tested</x:v>
      </x:c>
      <x:c r="J33" s="18" t="str">
        <x:v>Not tested</x:v>
      </x:c>
      <x:c r="K33" s="18" t="str">
        <x:v>Not tested</x:v>
      </x:c>
      <x:c r="L33" s="18"/>
      <x:c r="M33" s="22"/>
    </x:row>
    <x:row r="34" ht="30" customHeight="1">
      <x:c r="A34" s="18" t="str">
        <x:v>RO|cs</x:v>
      </x:c>
      <x:c r="B34" s="18" t="str">
        <x:v>Romania</x:v>
      </x:c>
      <x:c r="C34" s="18" t="str">
        <x:v>cs</x:v>
      </x:c>
      <x:c r="D34" s="18" t="str">
        <x:v>/romania/cs</x:v>
      </x:c>
      <x:c r="E34" s="18" t="str">
        <x:v>Not tested</x:v>
      </x:c>
      <x:c r="F34" s="18" t="str">
        <x:v>Not tested</x:v>
      </x:c>
      <x:c r="G34" s="18" t="str">
        <x:v>Not tested</x:v>
      </x:c>
      <x:c r="H34" s="18" t="str">
        <x:v>Not tested</x:v>
      </x:c>
      <x:c r="I34" s="18" t="str">
        <x:v>Not tested</x:v>
      </x:c>
      <x:c r="J34" s="18" t="str">
        <x:v>Not tested</x:v>
      </x:c>
      <x:c r="K34" s="18" t="str">
        <x:v>Not tested</x:v>
      </x:c>
      <x:c r="L34" s="18"/>
      <x:c r="M34" s="22"/>
    </x:row>
    <x:row r="35" ht="30" customHeight="1">
      <x:c r="A35" s="18" t="str">
        <x:v>RO|de</x:v>
      </x:c>
      <x:c r="B35" s="18" t="str">
        <x:v>Romania</x:v>
      </x:c>
      <x:c r="C35" s="18" t="str">
        <x:v>de</x:v>
      </x:c>
      <x:c r="D35" s="18" t="str">
        <x:v>/romania/de</x:v>
      </x:c>
      <x:c r="E35" s="18" t="str">
        <x:v>Not tested</x:v>
      </x:c>
      <x:c r="F35" s="18" t="str">
        <x:v>Not tested</x:v>
      </x:c>
      <x:c r="G35" s="18" t="str">
        <x:v>Not tested</x:v>
      </x:c>
      <x:c r="H35" s="18" t="str">
        <x:v>Not tested</x:v>
      </x:c>
      <x:c r="I35" s="18" t="str">
        <x:v>Not tested</x:v>
      </x:c>
      <x:c r="J35" s="18" t="str">
        <x:v>Not tested</x:v>
      </x:c>
      <x:c r="K35" s="18" t="str">
        <x:v>Not tested</x:v>
      </x:c>
      <x:c r="L35" s="18"/>
      <x:c r="M35" s="22"/>
    </x:row>
    <x:row r="36" ht="30" customHeight="1">
      <x:c r="A36" s="18" t="str">
        <x:v>BR|pt</x:v>
      </x:c>
      <x:c r="B36" s="18" t="str">
        <x:v>Brazil</x:v>
      </x:c>
      <x:c r="C36" s="18" t="str">
        <x:v>pt</x:v>
      </x:c>
      <x:c r="D36" s="18" t="str">
        <x:v>/brazil/pt</x:v>
      </x:c>
      <x:c r="E36" s="18" t="str">
        <x:v>Not tested</x:v>
      </x:c>
      <x:c r="F36" s="18" t="str">
        <x:v>Not tested</x:v>
      </x:c>
      <x:c r="G36" s="18" t="str">
        <x:v>Not tested</x:v>
      </x:c>
      <x:c r="H36" s="18" t="str">
        <x:v>Not tested</x:v>
      </x:c>
      <x:c r="I36" s="18" t="str">
        <x:v>Not tested</x:v>
      </x:c>
      <x:c r="J36" s="18" t="str">
        <x:v>Not tested</x:v>
      </x:c>
      <x:c r="K36" s="18" t="str">
        <x:v>Not tested</x:v>
      </x:c>
      <x:c r="L36" s="18"/>
      <x:c r="M36" s="22"/>
    </x:row>
    <x:row r="37" ht="30" customHeight="1">
      <x:c r="A37" s="18" t="str">
        <x:v>BR|en</x:v>
      </x:c>
      <x:c r="B37" s="18" t="str">
        <x:v>Brazil</x:v>
      </x:c>
      <x:c r="C37" s="18" t="str">
        <x:v>en</x:v>
      </x:c>
      <x:c r="D37" s="18" t="str">
        <x:v>/brazil/en</x:v>
      </x:c>
      <x:c r="E37" s="18" t="str">
        <x:v>Not tested</x:v>
      </x:c>
      <x:c r="F37" s="18" t="str">
        <x:v>Not tested</x:v>
      </x:c>
      <x:c r="G37" s="18" t="str">
        <x:v>Not tested</x:v>
      </x:c>
      <x:c r="H37" s="18" t="str">
        <x:v>Not tested</x:v>
      </x:c>
      <x:c r="I37" s="18" t="str">
        <x:v>Not tested</x:v>
      </x:c>
      <x:c r="J37" s="18" t="str">
        <x:v>Not tested</x:v>
      </x:c>
      <x:c r="K37" s="18" t="str">
        <x:v>Not tested</x:v>
      </x:c>
      <x:c r="L37" s="18"/>
      <x:c r="M37" s="22"/>
    </x:row>
    <x:row r="38" ht="30" customHeight="1">
      <x:c r="A38" s="18" t="str">
        <x:v>BR|es</x:v>
      </x:c>
      <x:c r="B38" s="18" t="str">
        <x:v>Brazil</x:v>
      </x:c>
      <x:c r="C38" s="18" t="str">
        <x:v>es</x:v>
      </x:c>
      <x:c r="D38" s="18" t="str">
        <x:v>/brazil/es</x:v>
      </x:c>
      <x:c r="E38" s="18" t="str">
        <x:v>Not tested</x:v>
      </x:c>
      <x:c r="F38" s="18" t="str">
        <x:v>Not tested</x:v>
      </x:c>
      <x:c r="G38" s="18" t="str">
        <x:v>Not tested</x:v>
      </x:c>
      <x:c r="H38" s="18" t="str">
        <x:v>Not tested</x:v>
      </x:c>
      <x:c r="I38" s="18" t="str">
        <x:v>Not tested</x:v>
      </x:c>
      <x:c r="J38" s="18" t="str">
        <x:v>Not tested</x:v>
      </x:c>
      <x:c r="K38" s="18" t="str">
        <x:v>Not tested</x:v>
      </x:c>
      <x:c r="L38" s="18"/>
      <x:c r="M38" s="22"/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22"/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22"/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22"/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22"/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22"/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22"/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22"/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22"/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22"/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22"/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22"/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22"/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22"/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22"/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22"/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22"/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22"/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22"/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22"/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22"/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22"/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22"/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22"/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22"/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22"/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22"/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22"/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22"/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22"/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22"/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22"/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22"/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22"/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22"/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22"/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22"/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22"/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22"/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22"/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22"/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22"/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22"/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22"/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22"/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22"/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22"/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22"/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22"/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22"/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22"/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22"/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22"/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22"/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22"/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22"/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22"/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22"/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22"/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22"/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22"/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22"/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22"/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22"/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22"/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22"/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22"/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22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b75b58134e17484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8" hidden="0" customWidth="1"/>
    <x:col min="4" max="4" width="3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8" hidden="0" customWidth="1"/>
  </x:cols>
  <x:sheetData>
    <x:row r="1" ht="34" customHeight="1">
      <x:c r="A1" s="3" t="str">
        <x:v>HREFLANG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Edge-level history: one source URL → alternate URL per check. Missing evidence is unknown.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checked_at</x:v>
      </x:c>
      <x:c r="B5" s="12" t="str">
        <x:v>cluster_id</x:v>
      </x:c>
      <x:c r="C5" s="12" t="str">
        <x:v>source_url_id</x:v>
      </x:c>
      <x:c r="D5" s="12" t="str">
        <x:v>source_url</x:v>
      </x:c>
      <x:c r="E5" s="12" t="str">
        <x:v>declared_tag</x:v>
      </x:c>
      <x:c r="F5" s="12" t="str">
        <x:v>alternate_url</x:v>
      </x:c>
      <x:c r="G5" s="12" t="str">
        <x:v>alternate_status</x:v>
      </x:c>
      <x:c r="H5" s="12" t="str">
        <x:v>alternate_canonical</x:v>
      </x:c>
      <x:c r="I5" s="12" t="str">
        <x:v>alternate_indexability</x:v>
      </x:c>
      <x:c r="J5" s="12" t="str">
        <x:v>equivalent_content</x:v>
      </x:c>
      <x:c r="K5" s="12" t="str">
        <x:v>reciprocal</x:v>
      </x:c>
      <x:c r="L5" s="12" t="str">
        <x:v>is_self_reference</x:v>
      </x:c>
      <x:c r="M5" s="12" t="str">
        <x:v>x_default_valid</x:v>
      </x:c>
      <x:c r="N5" s="12" t="str">
        <x:v>verdict</x:v>
      </x:c>
      <x:c r="O5" s="12" t="str">
        <x:v>evidence</x:v>
      </x:c>
    </x:row>
    <x:row r="6" ht="30" customHeight="1">
      <x:c r="A6" s="22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</x:row>
    <x:row r="7" ht="30" customHeight="1">
      <x:c r="A7" s="22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</x:row>
    <x:row r="8" ht="30" customHeight="1">
      <x:c r="A8" s="22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</x:row>
    <x:row r="9" ht="30" customHeight="1">
      <x:c r="A9" s="22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</x:row>
    <x:row r="10" ht="30" customHeight="1">
      <x:c r="A10" s="22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</x:row>
    <x:row r="11" ht="30" customHeight="1">
      <x:c r="A11" s="22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 ht="30" customHeight="1">
      <x:c r="A12" s="22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 ht="30" customHeight="1">
      <x:c r="A13" s="22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 ht="30" customHeight="1">
      <x:c r="A14" s="22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</x:row>
    <x:row r="15" ht="30" customHeight="1">
      <x:c r="A15" s="22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</x:row>
    <x:row r="16" ht="30" customHeight="1">
      <x:c r="A16" s="22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 ht="30" customHeight="1">
      <x:c r="A17" s="22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</x:row>
    <x:row r="18" ht="30" customHeight="1">
      <x:c r="A18" s="22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 ht="30" customHeight="1">
      <x:c r="A19" s="22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 ht="30" customHeight="1">
      <x:c r="A20" s="22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 ht="30" customHeight="1">
      <x:c r="A21" s="22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 ht="30" customHeight="1">
      <x:c r="A22" s="22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 ht="30" customHeight="1">
      <x:c r="A23" s="22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 ht="30" customHeight="1">
      <x:c r="A24" s="22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 ht="30" customHeight="1">
      <x:c r="A25" s="22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 ht="30" customHeight="1">
      <x:c r="A26" s="22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 ht="30" customHeight="1">
      <x:c r="A27" s="22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 ht="30" customHeight="1">
      <x:c r="A28" s="22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 ht="30" customHeight="1">
      <x:c r="A29" s="22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 ht="30" customHeight="1">
      <x:c r="A30" s="22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 ht="30" customHeight="1">
      <x:c r="A31" s="22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 ht="30" customHeight="1">
      <x:c r="A32" s="22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 ht="30" customHeight="1">
      <x:c r="A33" s="22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 ht="30" customHeight="1">
      <x:c r="A34" s="22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 ht="30" customHeight="1">
      <x:c r="A35" s="22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 ht="30" customHeight="1">
      <x:c r="A36" s="22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 ht="30" customHeight="1">
      <x:c r="A37" s="22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 ht="30" customHeight="1">
      <x:c r="A38" s="22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 ht="30" customHeight="1">
      <x:c r="A39" s="22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 ht="30" customHeight="1">
      <x:c r="A40" s="22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 ht="30" customHeight="1">
      <x:c r="A41" s="22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 ht="30" customHeight="1">
      <x:c r="A42" s="22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 ht="30" customHeight="1">
      <x:c r="A43" s="22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 ht="30" customHeight="1">
      <x:c r="A44" s="22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 ht="30" customHeight="1">
      <x:c r="A45" s="22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 ht="30" customHeight="1">
      <x:c r="A46" s="22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 ht="30" customHeight="1">
      <x:c r="A47" s="22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 ht="30" customHeight="1">
      <x:c r="A48" s="22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 ht="30" customHeight="1">
      <x:c r="A49" s="22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 ht="30" customHeight="1">
      <x:c r="A50" s="22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 ht="30" customHeight="1">
      <x:c r="A51" s="22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</x:row>
    <x:row r="52" ht="30" customHeight="1">
      <x:c r="A52" s="22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</x:row>
    <x:row r="53" ht="30" customHeight="1">
      <x:c r="A53" s="22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</x:row>
    <x:row r="54" ht="30" customHeight="1">
      <x:c r="A54" s="22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</x:row>
    <x:row r="55" ht="30" customHeight="1">
      <x:c r="A55" s="22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</x:row>
    <x:row r="56" ht="30" customHeight="1">
      <x:c r="A56" s="22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</x:row>
    <x:row r="57" ht="30" customHeight="1">
      <x:c r="A57" s="22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</x:row>
    <x:row r="58" ht="30" customHeight="1">
      <x:c r="A58" s="22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</x:row>
    <x:row r="59" ht="30" customHeight="1">
      <x:c r="A59" s="22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</x:row>
    <x:row r="60" ht="30" customHeight="1">
      <x:c r="A60" s="22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</x:row>
    <x:row r="61" ht="30" customHeight="1">
      <x:c r="A61" s="22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</x:row>
    <x:row r="62" ht="30" customHeight="1">
      <x:c r="A62" s="22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</x:row>
    <x:row r="63" ht="30" customHeight="1">
      <x:c r="A63" s="22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</x:row>
    <x:row r="64" ht="30" customHeight="1">
      <x:c r="A64" s="22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</x:row>
    <x:row r="65" ht="30" customHeight="1">
      <x:c r="A65" s="22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</x:row>
    <x:row r="66" ht="30" customHeight="1">
      <x:c r="A66" s="22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</x:row>
    <x:row r="67" ht="30" customHeight="1">
      <x:c r="A67" s="22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</x:row>
    <x:row r="68" ht="30" customHeight="1">
      <x:c r="A68" s="22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</x:row>
    <x:row r="69" ht="30" customHeight="1">
      <x:c r="A69" s="22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</x:row>
    <x:row r="70" ht="30" customHeight="1">
      <x:c r="A70" s="22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</x:row>
    <x:row r="71" ht="30" customHeight="1">
      <x:c r="A71" s="22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</x:row>
    <x:row r="72" ht="30" customHeight="1">
      <x:c r="A72" s="22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</x:row>
    <x:row r="73" ht="30" customHeight="1">
      <x:c r="A73" s="22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</x:row>
    <x:row r="74" ht="30" customHeight="1">
      <x:c r="A74" s="22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</x:row>
    <x:row r="75" ht="30" customHeight="1">
      <x:c r="A75" s="22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</x:row>
    <x:row r="76" ht="30" customHeight="1">
      <x:c r="A76" s="22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</x:row>
    <x:row r="77" ht="30" customHeight="1">
      <x:c r="A77" s="22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</x:row>
    <x:row r="78" ht="30" customHeight="1">
      <x:c r="A78" s="22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</x:row>
    <x:row r="79" ht="30" customHeight="1">
      <x:c r="A79" s="22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</x:row>
    <x:row r="80" ht="30" customHeight="1">
      <x:c r="A80" s="22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</x:row>
    <x:row r="81" ht="30" customHeight="1">
      <x:c r="A81" s="22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</x:row>
    <x:row r="82" ht="30" customHeight="1">
      <x:c r="A82" s="22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</x:row>
    <x:row r="83" ht="30" customHeight="1">
      <x:c r="A83" s="22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</x:row>
    <x:row r="84" ht="30" customHeight="1">
      <x:c r="A84" s="22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</x:row>
    <x:row r="85" ht="30" customHeight="1">
      <x:c r="A85" s="22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</x:row>
    <x:row r="86" ht="30" customHeight="1">
      <x:c r="A86" s="22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</x:row>
    <x:row r="87" ht="30" customHeight="1">
      <x:c r="A87" s="22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</x:row>
    <x:row r="88" ht="30" customHeight="1">
      <x:c r="A88" s="22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</x:row>
    <x:row r="89" ht="30" customHeight="1">
      <x:c r="A89" s="22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</x:row>
    <x:row r="90" ht="30" customHeight="1">
      <x:c r="A90" s="22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</x:row>
    <x:row r="91" ht="30" customHeight="1">
      <x:c r="A91" s="22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</x:row>
    <x:row r="92" ht="30" customHeight="1">
      <x:c r="A92" s="22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</x:row>
    <x:row r="93" ht="30" customHeight="1">
      <x:c r="A93" s="22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</x:row>
    <x:row r="94" ht="30" customHeight="1">
      <x:c r="A94" s="22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</x:row>
    <x:row r="95" ht="30" customHeight="1">
      <x:c r="A95" s="22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</x:row>
    <x:row r="96" ht="30" customHeight="1">
      <x:c r="A96" s="22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</x:row>
    <x:row r="97" ht="30" customHeight="1">
      <x:c r="A97" s="22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</x:row>
    <x:row r="98" ht="30" customHeight="1">
      <x:c r="A98" s="22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</x:row>
    <x:row r="99" ht="30" customHeight="1">
      <x:c r="A99" s="22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</x:row>
    <x:row r="100" ht="30" customHeight="1">
      <x:c r="A100" s="22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</x:row>
    <x:row r="101" ht="30" customHeight="1">
      <x:c r="A101" s="22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</x:row>
    <x:row r="102" ht="30" customHeight="1">
      <x:c r="A102" s="22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</x:row>
    <x:row r="103" ht="30" customHeight="1">
      <x:c r="A103" s="22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</x:row>
    <x:row r="104" ht="30" customHeight="1">
      <x:c r="A104" s="22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</x:row>
    <x:row r="105" ht="30" customHeight="1">
      <x:c r="A105" s="22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3252a96e6675494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8" hidden="0" customWidth="1"/>
    <x:col min="17" max="17" width="18" hidden="0" customWidth="1"/>
    <x:col min="18" max="18" width="38" hidden="0" customWidth="1"/>
  </x:cols>
  <x:sheetData>
    <x:row r="1" ht="34" customHeight="1">
      <x:c r="A1" s="3" t="str">
        <x:v>CRAWL HISTORY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Append-only URL snapshots. A code review or sitemap appearance does not prove a successful rendered page.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checked_at</x:v>
      </x:c>
      <x:c r="B5" s="12" t="str">
        <x:v>url_id</x:v>
      </x:c>
      <x:c r="C5" s="12" t="str">
        <x:v>requested_url</x:v>
      </x:c>
      <x:c r="D5" s="12" t="str">
        <x:v>final_url</x:v>
      </x:c>
      <x:c r="E5" s="12" t="str">
        <x:v>http_status</x:v>
      </x:c>
      <x:c r="F5" s="12" t="str">
        <x:v>redirect_hops</x:v>
      </x:c>
      <x:c r="G5" s="12" t="str">
        <x:v>title</x:v>
      </x:c>
      <x:c r="H5" s="12" t="str">
        <x:v>meta_description</x:v>
      </x:c>
      <x:c r="I5" s="12" t="str">
        <x:v>h1</x:v>
      </x:c>
      <x:c r="J5" s="12" t="str">
        <x:v>html_lang</x:v>
      </x:c>
      <x:c r="K5" s="12" t="str">
        <x:v>canonical</x:v>
      </x:c>
      <x:c r="L5" s="12" t="str">
        <x:v>meta_robots</x:v>
      </x:c>
      <x:c r="M5" s="12" t="str">
        <x:v>x_robots_tag</x:v>
      </x:c>
      <x:c r="N5" s="12" t="str">
        <x:v>in_sitemap</x:v>
      </x:c>
      <x:c r="O5" s="12" t="str">
        <x:v>indexability</x:v>
      </x:c>
      <x:c r="P5" s="12" t="str">
        <x:v>rendering_check</x:v>
      </x:c>
      <x:c r="Q5" s="12" t="str">
        <x:v>source_revision</x:v>
      </x:c>
      <x:c r="R5" s="12" t="str">
        <x:v>evidence</x:v>
      </x:c>
    </x:row>
    <x:row r="6" ht="30" customHeight="1">
      <x:c r="A6" s="22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</x:row>
    <x:row r="7" ht="30" customHeight="1">
      <x:c r="A7" s="22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</x:row>
    <x:row r="8" ht="30" customHeight="1">
      <x:c r="A8" s="22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</x:row>
    <x:row r="9" ht="30" customHeight="1">
      <x:c r="A9" s="22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</x:row>
    <x:row r="10" ht="30" customHeight="1">
      <x:c r="A10" s="22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</x:row>
    <x:row r="11" ht="30" customHeight="1">
      <x:c r="A11" s="22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</x:row>
    <x:row r="12" ht="30" customHeight="1">
      <x:c r="A12" s="22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</x:row>
    <x:row r="13" ht="30" customHeight="1">
      <x:c r="A13" s="22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</x:row>
    <x:row r="14" ht="30" customHeight="1">
      <x:c r="A14" s="22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</x:row>
    <x:row r="15" ht="30" customHeight="1">
      <x:c r="A15" s="22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</x:row>
    <x:row r="16" ht="30" customHeight="1">
      <x:c r="A16" s="22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</x:row>
    <x:row r="17" ht="30" customHeight="1">
      <x:c r="A17" s="22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</x:row>
    <x:row r="18" ht="30" customHeight="1">
      <x:c r="A18" s="22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</x:row>
    <x:row r="19" ht="30" customHeight="1">
      <x:c r="A19" s="22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</x:row>
    <x:row r="20" ht="30" customHeight="1">
      <x:c r="A20" s="22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</x:row>
    <x:row r="21" ht="30" customHeight="1">
      <x:c r="A21" s="22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</x:row>
    <x:row r="22" ht="30" customHeight="1">
      <x:c r="A22" s="22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</x:row>
    <x:row r="23" ht="30" customHeight="1">
      <x:c r="A23" s="22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</x:row>
    <x:row r="24" ht="30" customHeight="1">
      <x:c r="A24" s="22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</x:row>
    <x:row r="25" ht="30" customHeight="1">
      <x:c r="A25" s="22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</x:row>
    <x:row r="26" ht="30" customHeight="1">
      <x:c r="A26" s="22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</x:row>
    <x:row r="27" ht="30" customHeight="1">
      <x:c r="A27" s="22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</x:row>
    <x:row r="28" ht="30" customHeight="1">
      <x:c r="A28" s="22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</x:row>
    <x:row r="29" ht="30" customHeight="1">
      <x:c r="A29" s="22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</x:row>
    <x:row r="30" ht="30" customHeight="1">
      <x:c r="A30" s="22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</x:row>
    <x:row r="31" ht="30" customHeight="1">
      <x:c r="A31" s="22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</x:row>
    <x:row r="32" ht="30" customHeight="1">
      <x:c r="A32" s="22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</x:row>
    <x:row r="33" ht="30" customHeight="1">
      <x:c r="A33" s="22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</x:row>
    <x:row r="34" ht="30" customHeight="1">
      <x:c r="A34" s="22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</x:row>
    <x:row r="35" ht="30" customHeight="1">
      <x:c r="A35" s="22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</x:row>
    <x:row r="36" ht="30" customHeight="1">
      <x:c r="A36" s="22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</x:row>
    <x:row r="37" ht="30" customHeight="1">
      <x:c r="A37" s="22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</x:row>
    <x:row r="38" ht="30" customHeight="1">
      <x:c r="A38" s="22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</x:row>
    <x:row r="39" ht="30" customHeight="1">
      <x:c r="A39" s="22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</x:row>
    <x:row r="40" ht="30" customHeight="1">
      <x:c r="A40" s="22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</x:row>
    <x:row r="41" ht="30" customHeight="1">
      <x:c r="A41" s="22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</x:row>
    <x:row r="42" ht="30" customHeight="1">
      <x:c r="A42" s="22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</x:row>
    <x:row r="43" ht="30" customHeight="1">
      <x:c r="A43" s="22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</x:row>
    <x:row r="44" ht="30" customHeight="1">
      <x:c r="A44" s="22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</x:row>
    <x:row r="45" ht="30" customHeight="1">
      <x:c r="A45" s="22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</x:row>
    <x:row r="46" ht="30" customHeight="1">
      <x:c r="A46" s="22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</x:row>
    <x:row r="47" ht="30" customHeight="1">
      <x:c r="A47" s="22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</x:row>
    <x:row r="48" ht="30" customHeight="1">
      <x:c r="A48" s="22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</x:row>
    <x:row r="49" ht="30" customHeight="1">
      <x:c r="A49" s="22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</x:row>
    <x:row r="50" ht="30" customHeight="1">
      <x:c r="A50" s="22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</x:row>
    <x:row r="51" ht="30" customHeight="1">
      <x:c r="A51" s="22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</x:row>
    <x:row r="52" ht="30" customHeight="1">
      <x:c r="A52" s="22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</x:row>
    <x:row r="53" ht="30" customHeight="1">
      <x:c r="A53" s="22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</x:row>
    <x:row r="54" ht="30" customHeight="1">
      <x:c r="A54" s="22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</x:row>
    <x:row r="55" ht="30" customHeight="1">
      <x:c r="A55" s="22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</x:row>
    <x:row r="56" ht="30" customHeight="1">
      <x:c r="A56" s="22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</x:row>
    <x:row r="57" ht="30" customHeight="1">
      <x:c r="A57" s="22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</x:row>
    <x:row r="58" ht="30" customHeight="1">
      <x:c r="A58" s="22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</x:row>
    <x:row r="59" ht="30" customHeight="1">
      <x:c r="A59" s="22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</x:row>
    <x:row r="60" ht="30" customHeight="1">
      <x:c r="A60" s="22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</x:row>
    <x:row r="61" ht="30" customHeight="1">
      <x:c r="A61" s="22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</x:row>
    <x:row r="62" ht="30" customHeight="1">
      <x:c r="A62" s="22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</x:row>
    <x:row r="63" ht="30" customHeight="1">
      <x:c r="A63" s="22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</x:row>
    <x:row r="64" ht="30" customHeight="1">
      <x:c r="A64" s="22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</x:row>
    <x:row r="65" ht="30" customHeight="1">
      <x:c r="A65" s="22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</x:row>
    <x:row r="66" ht="30" customHeight="1">
      <x:c r="A66" s="22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</x:row>
    <x:row r="67" ht="30" customHeight="1">
      <x:c r="A67" s="22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</x:row>
    <x:row r="68" ht="30" customHeight="1">
      <x:c r="A68" s="22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</x:row>
    <x:row r="69" ht="30" customHeight="1">
      <x:c r="A69" s="22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</x:row>
    <x:row r="70" ht="30" customHeight="1">
      <x:c r="A70" s="22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</x:row>
    <x:row r="71" ht="30" customHeight="1">
      <x:c r="A71" s="22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</x:row>
    <x:row r="72" ht="30" customHeight="1">
      <x:c r="A72" s="22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</x:row>
    <x:row r="73" ht="30" customHeight="1">
      <x:c r="A73" s="22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</x:row>
    <x:row r="74" ht="30" customHeight="1">
      <x:c r="A74" s="22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</x:row>
    <x:row r="75" ht="30" customHeight="1">
      <x:c r="A75" s="22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</x:row>
    <x:row r="76" ht="30" customHeight="1">
      <x:c r="A76" s="22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</x:row>
    <x:row r="77" ht="30" customHeight="1">
      <x:c r="A77" s="22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</x:row>
    <x:row r="78" ht="30" customHeight="1">
      <x:c r="A78" s="22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</x:row>
    <x:row r="79" ht="30" customHeight="1">
      <x:c r="A79" s="22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</x:row>
    <x:row r="80" ht="30" customHeight="1">
      <x:c r="A80" s="22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</x:row>
    <x:row r="81" ht="30" customHeight="1">
      <x:c r="A81" s="22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</x:row>
    <x:row r="82" ht="30" customHeight="1">
      <x:c r="A82" s="22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</x:row>
    <x:row r="83" ht="30" customHeight="1">
      <x:c r="A83" s="22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</x:row>
    <x:row r="84" ht="30" customHeight="1">
      <x:c r="A84" s="22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</x:row>
    <x:row r="85" ht="30" customHeight="1">
      <x:c r="A85" s="22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</x:row>
    <x:row r="86" ht="30" customHeight="1">
      <x:c r="A86" s="22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</x:row>
    <x:row r="87" ht="30" customHeight="1">
      <x:c r="A87" s="22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</x:row>
    <x:row r="88" ht="30" customHeight="1">
      <x:c r="A88" s="22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</x:row>
    <x:row r="89" ht="30" customHeight="1">
      <x:c r="A89" s="22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</x:row>
    <x:row r="90" ht="30" customHeight="1">
      <x:c r="A90" s="22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</x:row>
    <x:row r="91" ht="30" customHeight="1">
      <x:c r="A91" s="22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</x:row>
    <x:row r="92" ht="30" customHeight="1">
      <x:c r="A92" s="22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</x:row>
    <x:row r="93" ht="30" customHeight="1">
      <x:c r="A93" s="22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</x:row>
    <x:row r="94" ht="30" customHeight="1">
      <x:c r="A94" s="22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</x:row>
    <x:row r="95" ht="30" customHeight="1">
      <x:c r="A95" s="22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</x:row>
    <x:row r="96" ht="30" customHeight="1">
      <x:c r="A96" s="22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</x:row>
    <x:row r="97" ht="30" customHeight="1">
      <x:c r="A97" s="22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</x:row>
    <x:row r="98" ht="30" customHeight="1">
      <x:c r="A98" s="22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</x:row>
    <x:row r="99" ht="30" customHeight="1">
      <x:c r="A99" s="22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</x:row>
    <x:row r="100" ht="30" customHeight="1">
      <x:c r="A100" s="22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</x:row>
    <x:row r="101" ht="30" customHeight="1">
      <x:c r="A101" s="22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</x:row>
    <x:row r="102" ht="30" customHeight="1">
      <x:c r="A102" s="22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</x:row>
    <x:row r="103" ht="30" customHeight="1">
      <x:c r="A103" s="22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</x:row>
    <x:row r="104" ht="30" customHeight="1">
      <x:c r="A104" s="22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</x:row>
    <x:row r="105" ht="30" customHeight="1">
      <x:c r="A105" s="22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b359c2d00e75413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18" hidden="0" customWidth="1"/>
    <x:col min="5" max="5" width="13" hidden="0" customWidth="1"/>
    <x:col min="6" max="6" width="18" hidden="0" customWidth="1"/>
    <x:col min="7" max="7" width="1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4" customHeight="1">
      <x:c r="A1" s="3" t="str">
        <x:v>GSC PAGE DAILY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Grain: date × URL × searcher country × device × search type. No query dimension; never append query totals here.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date</x:v>
      </x:c>
      <x:c r="B5" s="12" t="str">
        <x:v>url_id</x:v>
      </x:c>
      <x:c r="C5" s="12" t="str">
        <x:v>normalized_url</x:v>
      </x:c>
      <x:c r="D5" s="12" t="str">
        <x:v>target_country</x:v>
      </x:c>
      <x:c r="E5" s="12" t="str">
        <x:v>language</x:v>
      </x:c>
      <x:c r="F5" s="12" t="str">
        <x:v>searcher_country</x:v>
      </x:c>
      <x:c r="G5" s="12" t="str">
        <x:v>device</x:v>
      </x:c>
      <x:c r="H5" s="12" t="str">
        <x:v>search_type</x:v>
      </x:c>
      <x:c r="I5" s="12" t="str">
        <x:v>clicks</x:v>
      </x:c>
      <x:c r="J5" s="12" t="str">
        <x:v>impressions</x:v>
      </x:c>
      <x:c r="K5" s="12" t="str">
        <x:v>avg_position</x:v>
      </x:c>
      <x:c r="L5" s="12" t="str">
        <x:v>ctr</x:v>
      </x:c>
      <x:c r="M5" s="12" t="str">
        <x:v>row_key</x:v>
      </x:c>
      <x:c r="N5" s="12" t="str">
        <x:v>refresh_id</x:v>
      </x:c>
      <x:c r="O5" s="12" t="str">
        <x:v>data_state</x:v>
      </x:c>
      <x:c r="P5" s="12" t="str">
        <x:v>source_timezone</x:v>
      </x:c>
      <x:c r="Q5" s="12" t="str">
        <x:v>data_quality</x:v>
      </x:c>
      <x:c r="R5" s="12" t="str">
        <x:v>source</x:v>
      </x:c>
    </x:row>
    <x:row r="6" ht="30" customHeight="1">
      <x:c r="A6" s="22"/>
      <x:c r="B6" s="18"/>
      <x:c r="C6" s="18"/>
      <x:c r="D6" s="18"/>
      <x:c r="E6" s="18"/>
      <x:c r="F6" s="18"/>
      <x:c r="G6" s="18"/>
      <x:c r="H6" s="18"/>
      <x:c r="I6" s="24"/>
      <x:c r="J6" s="24"/>
      <x:c r="K6" s="26"/>
      <x:c r="L6" s="28" t="str">
        <x:f>IF(OR(A6="",J6=""),"",IFERROR(I6/J6,""))</x:f>
      </x:c>
      <x:c r="M6" s="18" t="str">
        <x:f>IF(A6="","",TEXT(A6,"yyyy-mm-dd")&amp;"|"&amp;C6&amp;"|"&amp;F6&amp;"|"&amp;G6&amp;"|"&amp;H6)</x:f>
      </x:c>
      <x:c r="N6" s="18"/>
      <x:c r="O6" s="18"/>
      <x:c r="P6" s="18"/>
      <x:c r="Q6" s="18"/>
      <x:c r="R6" s="18"/>
    </x:row>
    <x:row r="7" ht="30" customHeight="1">
      <x:c r="A7" s="22"/>
      <x:c r="B7" s="18"/>
      <x:c r="C7" s="18"/>
      <x:c r="D7" s="18"/>
      <x:c r="E7" s="18"/>
      <x:c r="F7" s="18"/>
      <x:c r="G7" s="18"/>
      <x:c r="H7" s="18"/>
      <x:c r="I7" s="24"/>
      <x:c r="J7" s="24"/>
      <x:c r="K7" s="26"/>
      <x:c r="L7" s="28"/>
      <x:c r="M7" s="18"/>
      <x:c r="N7" s="18"/>
      <x:c r="O7" s="18"/>
      <x:c r="P7" s="18"/>
      <x:c r="Q7" s="18"/>
      <x:c r="R7" s="18"/>
    </x:row>
    <x:row r="8" ht="30" customHeight="1">
      <x:c r="A8" s="22"/>
      <x:c r="B8" s="18"/>
      <x:c r="C8" s="18"/>
      <x:c r="D8" s="18"/>
      <x:c r="E8" s="18"/>
      <x:c r="F8" s="18"/>
      <x:c r="G8" s="18"/>
      <x:c r="H8" s="18"/>
      <x:c r="I8" s="24"/>
      <x:c r="J8" s="24"/>
      <x:c r="K8" s="26"/>
      <x:c r="L8" s="28"/>
      <x:c r="M8" s="18"/>
      <x:c r="N8" s="18"/>
      <x:c r="O8" s="18"/>
      <x:c r="P8" s="18"/>
      <x:c r="Q8" s="18"/>
      <x:c r="R8" s="18"/>
    </x:row>
    <x:row r="9" ht="30" customHeight="1">
      <x:c r="A9" s="22"/>
      <x:c r="B9" s="18"/>
      <x:c r="C9" s="18"/>
      <x:c r="D9" s="18"/>
      <x:c r="E9" s="18"/>
      <x:c r="F9" s="18"/>
      <x:c r="G9" s="18"/>
      <x:c r="H9" s="18"/>
      <x:c r="I9" s="24"/>
      <x:c r="J9" s="24"/>
      <x:c r="K9" s="26"/>
      <x:c r="L9" s="28"/>
      <x:c r="M9" s="18"/>
      <x:c r="N9" s="18"/>
      <x:c r="O9" s="18"/>
      <x:c r="P9" s="18"/>
      <x:c r="Q9" s="18"/>
      <x:c r="R9" s="18"/>
    </x:row>
    <x:row r="10" ht="30" customHeight="1">
      <x:c r="A10" s="22"/>
      <x:c r="B10" s="18"/>
      <x:c r="C10" s="18"/>
      <x:c r="D10" s="18"/>
      <x:c r="E10" s="18"/>
      <x:c r="F10" s="18"/>
      <x:c r="G10" s="18"/>
      <x:c r="H10" s="18"/>
      <x:c r="I10" s="24"/>
      <x:c r="J10" s="24"/>
      <x:c r="K10" s="26"/>
      <x:c r="L10" s="28"/>
      <x:c r="M10" s="18"/>
      <x:c r="N10" s="18"/>
      <x:c r="O10" s="18"/>
      <x:c r="P10" s="18"/>
      <x:c r="Q10" s="18"/>
      <x:c r="R10" s="18"/>
    </x:row>
    <x:row r="11" ht="30" customHeight="1">
      <x:c r="A11" s="22"/>
      <x:c r="B11" s="18"/>
      <x:c r="C11" s="18"/>
      <x:c r="D11" s="18"/>
      <x:c r="E11" s="18"/>
      <x:c r="F11" s="18"/>
      <x:c r="G11" s="18"/>
      <x:c r="H11" s="18"/>
      <x:c r="I11" s="24"/>
      <x:c r="J11" s="24"/>
      <x:c r="K11" s="26"/>
      <x:c r="L11" s="28"/>
      <x:c r="M11" s="18"/>
      <x:c r="N11" s="18"/>
      <x:c r="O11" s="18"/>
      <x:c r="P11" s="18"/>
      <x:c r="Q11" s="18"/>
      <x:c r="R11" s="18"/>
    </x:row>
    <x:row r="12" ht="30" customHeight="1">
      <x:c r="A12" s="22"/>
      <x:c r="B12" s="18"/>
      <x:c r="C12" s="18"/>
      <x:c r="D12" s="18"/>
      <x:c r="E12" s="18"/>
      <x:c r="F12" s="18"/>
      <x:c r="G12" s="18"/>
      <x:c r="H12" s="18"/>
      <x:c r="I12" s="24"/>
      <x:c r="J12" s="24"/>
      <x:c r="K12" s="26"/>
      <x:c r="L12" s="28"/>
      <x:c r="M12" s="18"/>
      <x:c r="N12" s="18"/>
      <x:c r="O12" s="18"/>
      <x:c r="P12" s="18"/>
      <x:c r="Q12" s="18"/>
      <x:c r="R12" s="18"/>
    </x:row>
    <x:row r="13" ht="30" customHeight="1">
      <x:c r="A13" s="22"/>
      <x:c r="B13" s="18"/>
      <x:c r="C13" s="18"/>
      <x:c r="D13" s="18"/>
      <x:c r="E13" s="18"/>
      <x:c r="F13" s="18"/>
      <x:c r="G13" s="18"/>
      <x:c r="H13" s="18"/>
      <x:c r="I13" s="24"/>
      <x:c r="J13" s="24"/>
      <x:c r="K13" s="26"/>
      <x:c r="L13" s="28"/>
      <x:c r="M13" s="18"/>
      <x:c r="N13" s="18"/>
      <x:c r="O13" s="18"/>
      <x:c r="P13" s="18"/>
      <x:c r="Q13" s="18"/>
      <x:c r="R13" s="18"/>
    </x:row>
    <x:row r="14" ht="30" customHeight="1">
      <x:c r="A14" s="22"/>
      <x:c r="B14" s="18"/>
      <x:c r="C14" s="18"/>
      <x:c r="D14" s="18"/>
      <x:c r="E14" s="18"/>
      <x:c r="F14" s="18"/>
      <x:c r="G14" s="18"/>
      <x:c r="H14" s="18"/>
      <x:c r="I14" s="24"/>
      <x:c r="J14" s="24"/>
      <x:c r="K14" s="26"/>
      <x:c r="L14" s="28"/>
      <x:c r="M14" s="18"/>
      <x:c r="N14" s="18"/>
      <x:c r="O14" s="18"/>
      <x:c r="P14" s="18"/>
      <x:c r="Q14" s="18"/>
      <x:c r="R14" s="18"/>
    </x:row>
    <x:row r="15" ht="30" customHeight="1">
      <x:c r="A15" s="22"/>
      <x:c r="B15" s="18"/>
      <x:c r="C15" s="18"/>
      <x:c r="D15" s="18"/>
      <x:c r="E15" s="18"/>
      <x:c r="F15" s="18"/>
      <x:c r="G15" s="18"/>
      <x:c r="H15" s="18"/>
      <x:c r="I15" s="24"/>
      <x:c r="J15" s="24"/>
      <x:c r="K15" s="26"/>
      <x:c r="L15" s="28"/>
      <x:c r="M15" s="18"/>
      <x:c r="N15" s="18"/>
      <x:c r="O15" s="18"/>
      <x:c r="P15" s="18"/>
      <x:c r="Q15" s="18"/>
      <x:c r="R15" s="18"/>
    </x:row>
    <x:row r="16" ht="30" customHeight="1">
      <x:c r="A16" s="22"/>
      <x:c r="B16" s="18"/>
      <x:c r="C16" s="18"/>
      <x:c r="D16" s="18"/>
      <x:c r="E16" s="18"/>
      <x:c r="F16" s="18"/>
      <x:c r="G16" s="18"/>
      <x:c r="H16" s="18"/>
      <x:c r="I16" s="24"/>
      <x:c r="J16" s="24"/>
      <x:c r="K16" s="26"/>
      <x:c r="L16" s="28"/>
      <x:c r="M16" s="18"/>
      <x:c r="N16" s="18"/>
      <x:c r="O16" s="18"/>
      <x:c r="P16" s="18"/>
      <x:c r="Q16" s="18"/>
      <x:c r="R16" s="18"/>
    </x:row>
    <x:row r="17" ht="30" customHeight="1">
      <x:c r="A17" s="22"/>
      <x:c r="B17" s="18"/>
      <x:c r="C17" s="18"/>
      <x:c r="D17" s="18"/>
      <x:c r="E17" s="18"/>
      <x:c r="F17" s="18"/>
      <x:c r="G17" s="18"/>
      <x:c r="H17" s="18"/>
      <x:c r="I17" s="24"/>
      <x:c r="J17" s="24"/>
      <x:c r="K17" s="26"/>
      <x:c r="L17" s="28"/>
      <x:c r="M17" s="18"/>
      <x:c r="N17" s="18"/>
      <x:c r="O17" s="18"/>
      <x:c r="P17" s="18"/>
      <x:c r="Q17" s="18"/>
      <x:c r="R17" s="18"/>
    </x:row>
    <x:row r="18" ht="30" customHeight="1">
      <x:c r="A18" s="22"/>
      <x:c r="B18" s="18"/>
      <x:c r="C18" s="18"/>
      <x:c r="D18" s="18"/>
      <x:c r="E18" s="18"/>
      <x:c r="F18" s="18"/>
      <x:c r="G18" s="18"/>
      <x:c r="H18" s="18"/>
      <x:c r="I18" s="24"/>
      <x:c r="J18" s="24"/>
      <x:c r="K18" s="26"/>
      <x:c r="L18" s="28"/>
      <x:c r="M18" s="18"/>
      <x:c r="N18" s="18"/>
      <x:c r="O18" s="18"/>
      <x:c r="P18" s="18"/>
      <x:c r="Q18" s="18"/>
      <x:c r="R18" s="18"/>
    </x:row>
    <x:row r="19" ht="30" customHeight="1">
      <x:c r="A19" s="22"/>
      <x:c r="B19" s="18"/>
      <x:c r="C19" s="18"/>
      <x:c r="D19" s="18"/>
      <x:c r="E19" s="18"/>
      <x:c r="F19" s="18"/>
      <x:c r="G19" s="18"/>
      <x:c r="H19" s="18"/>
      <x:c r="I19" s="24"/>
      <x:c r="J19" s="24"/>
      <x:c r="K19" s="26"/>
      <x:c r="L19" s="28"/>
      <x:c r="M19" s="18"/>
      <x:c r="N19" s="18"/>
      <x:c r="O19" s="18"/>
      <x:c r="P19" s="18"/>
      <x:c r="Q19" s="18"/>
      <x:c r="R19" s="18"/>
    </x:row>
    <x:row r="20" ht="30" customHeight="1">
      <x:c r="A20" s="22"/>
      <x:c r="B20" s="18"/>
      <x:c r="C20" s="18"/>
      <x:c r="D20" s="18"/>
      <x:c r="E20" s="18"/>
      <x:c r="F20" s="18"/>
      <x:c r="G20" s="18"/>
      <x:c r="H20" s="18"/>
      <x:c r="I20" s="24"/>
      <x:c r="J20" s="24"/>
      <x:c r="K20" s="26"/>
      <x:c r="L20" s="28"/>
      <x:c r="M20" s="18"/>
      <x:c r="N20" s="18"/>
      <x:c r="O20" s="18"/>
      <x:c r="P20" s="18"/>
      <x:c r="Q20" s="18"/>
      <x:c r="R20" s="18"/>
    </x:row>
    <x:row r="21" ht="30" customHeight="1">
      <x:c r="A21" s="22"/>
      <x:c r="B21" s="18"/>
      <x:c r="C21" s="18"/>
      <x:c r="D21" s="18"/>
      <x:c r="E21" s="18"/>
      <x:c r="F21" s="18"/>
      <x:c r="G21" s="18"/>
      <x:c r="H21" s="18"/>
      <x:c r="I21" s="24"/>
      <x:c r="J21" s="24"/>
      <x:c r="K21" s="26"/>
      <x:c r="L21" s="28"/>
      <x:c r="M21" s="18"/>
      <x:c r="N21" s="18"/>
      <x:c r="O21" s="18"/>
      <x:c r="P21" s="18"/>
      <x:c r="Q21" s="18"/>
      <x:c r="R21" s="18"/>
    </x:row>
    <x:row r="22" ht="30" customHeight="1">
      <x:c r="A22" s="22"/>
      <x:c r="B22" s="18"/>
      <x:c r="C22" s="18"/>
      <x:c r="D22" s="18"/>
      <x:c r="E22" s="18"/>
      <x:c r="F22" s="18"/>
      <x:c r="G22" s="18"/>
      <x:c r="H22" s="18"/>
      <x:c r="I22" s="24"/>
      <x:c r="J22" s="24"/>
      <x:c r="K22" s="26"/>
      <x:c r="L22" s="28"/>
      <x:c r="M22" s="18"/>
      <x:c r="N22" s="18"/>
      <x:c r="O22" s="18"/>
      <x:c r="P22" s="18"/>
      <x:c r="Q22" s="18"/>
      <x:c r="R22" s="18"/>
    </x:row>
    <x:row r="23" ht="30" customHeight="1">
      <x:c r="A23" s="22"/>
      <x:c r="B23" s="18"/>
      <x:c r="C23" s="18"/>
      <x:c r="D23" s="18"/>
      <x:c r="E23" s="18"/>
      <x:c r="F23" s="18"/>
      <x:c r="G23" s="18"/>
      <x:c r="H23" s="18"/>
      <x:c r="I23" s="24"/>
      <x:c r="J23" s="24"/>
      <x:c r="K23" s="26"/>
      <x:c r="L23" s="28"/>
      <x:c r="M23" s="18"/>
      <x:c r="N23" s="18"/>
      <x:c r="O23" s="18"/>
      <x:c r="P23" s="18"/>
      <x:c r="Q23" s="18"/>
      <x:c r="R23" s="18"/>
    </x:row>
    <x:row r="24" ht="30" customHeight="1">
      <x:c r="A24" s="22"/>
      <x:c r="B24" s="18"/>
      <x:c r="C24" s="18"/>
      <x:c r="D24" s="18"/>
      <x:c r="E24" s="18"/>
      <x:c r="F24" s="18"/>
      <x:c r="G24" s="18"/>
      <x:c r="H24" s="18"/>
      <x:c r="I24" s="24"/>
      <x:c r="J24" s="24"/>
      <x:c r="K24" s="26"/>
      <x:c r="L24" s="28"/>
      <x:c r="M24" s="18"/>
      <x:c r="N24" s="18"/>
      <x:c r="O24" s="18"/>
      <x:c r="P24" s="18"/>
      <x:c r="Q24" s="18"/>
      <x:c r="R24" s="18"/>
    </x:row>
    <x:row r="25" ht="30" customHeight="1">
      <x:c r="A25" s="22"/>
      <x:c r="B25" s="18"/>
      <x:c r="C25" s="18"/>
      <x:c r="D25" s="18"/>
      <x:c r="E25" s="18"/>
      <x:c r="F25" s="18"/>
      <x:c r="G25" s="18"/>
      <x:c r="H25" s="18"/>
      <x:c r="I25" s="24"/>
      <x:c r="J25" s="24"/>
      <x:c r="K25" s="26"/>
      <x:c r="L25" s="28"/>
      <x:c r="M25" s="18"/>
      <x:c r="N25" s="18"/>
      <x:c r="O25" s="18"/>
      <x:c r="P25" s="18"/>
      <x:c r="Q25" s="18"/>
      <x:c r="R25" s="18"/>
    </x:row>
    <x:row r="26" ht="30" customHeight="1">
      <x:c r="A26" s="22"/>
      <x:c r="B26" s="18"/>
      <x:c r="C26" s="18"/>
      <x:c r="D26" s="18"/>
      <x:c r="E26" s="18"/>
      <x:c r="F26" s="18"/>
      <x:c r="G26" s="18"/>
      <x:c r="H26" s="18"/>
      <x:c r="I26" s="24"/>
      <x:c r="J26" s="24"/>
      <x:c r="K26" s="26"/>
      <x:c r="L26" s="28"/>
      <x:c r="M26" s="18"/>
      <x:c r="N26" s="18"/>
      <x:c r="O26" s="18"/>
      <x:c r="P26" s="18"/>
      <x:c r="Q26" s="18"/>
      <x:c r="R26" s="18"/>
    </x:row>
    <x:row r="27" ht="30" customHeight="1">
      <x:c r="A27" s="22"/>
      <x:c r="B27" s="18"/>
      <x:c r="C27" s="18"/>
      <x:c r="D27" s="18"/>
      <x:c r="E27" s="18"/>
      <x:c r="F27" s="18"/>
      <x:c r="G27" s="18"/>
      <x:c r="H27" s="18"/>
      <x:c r="I27" s="24"/>
      <x:c r="J27" s="24"/>
      <x:c r="K27" s="26"/>
      <x:c r="L27" s="28"/>
      <x:c r="M27" s="18"/>
      <x:c r="N27" s="18"/>
      <x:c r="O27" s="18"/>
      <x:c r="P27" s="18"/>
      <x:c r="Q27" s="18"/>
      <x:c r="R27" s="18"/>
    </x:row>
    <x:row r="28" ht="30" customHeight="1">
      <x:c r="A28" s="22"/>
      <x:c r="B28" s="18"/>
      <x:c r="C28" s="18"/>
      <x:c r="D28" s="18"/>
      <x:c r="E28" s="18"/>
      <x:c r="F28" s="18"/>
      <x:c r="G28" s="18"/>
      <x:c r="H28" s="18"/>
      <x:c r="I28" s="24"/>
      <x:c r="J28" s="24"/>
      <x:c r="K28" s="26"/>
      <x:c r="L28" s="28"/>
      <x:c r="M28" s="18"/>
      <x:c r="N28" s="18"/>
      <x:c r="O28" s="18"/>
      <x:c r="P28" s="18"/>
      <x:c r="Q28" s="18"/>
      <x:c r="R28" s="18"/>
    </x:row>
    <x:row r="29" ht="30" customHeight="1">
      <x:c r="A29" s="22"/>
      <x:c r="B29" s="18"/>
      <x:c r="C29" s="18"/>
      <x:c r="D29" s="18"/>
      <x:c r="E29" s="18"/>
      <x:c r="F29" s="18"/>
      <x:c r="G29" s="18"/>
      <x:c r="H29" s="18"/>
      <x:c r="I29" s="24"/>
      <x:c r="J29" s="24"/>
      <x:c r="K29" s="26"/>
      <x:c r="L29" s="28"/>
      <x:c r="M29" s="18"/>
      <x:c r="N29" s="18"/>
      <x:c r="O29" s="18"/>
      <x:c r="P29" s="18"/>
      <x:c r="Q29" s="18"/>
      <x:c r="R29" s="18"/>
    </x:row>
    <x:row r="30" ht="30" customHeight="1">
      <x:c r="A30" s="22"/>
      <x:c r="B30" s="18"/>
      <x:c r="C30" s="18"/>
      <x:c r="D30" s="18"/>
      <x:c r="E30" s="18"/>
      <x:c r="F30" s="18"/>
      <x:c r="G30" s="18"/>
      <x:c r="H30" s="18"/>
      <x:c r="I30" s="24"/>
      <x:c r="J30" s="24"/>
      <x:c r="K30" s="26"/>
      <x:c r="L30" s="28"/>
      <x:c r="M30" s="18"/>
      <x:c r="N30" s="18"/>
      <x:c r="O30" s="18"/>
      <x:c r="P30" s="18"/>
      <x:c r="Q30" s="18"/>
      <x:c r="R30" s="18"/>
    </x:row>
    <x:row r="31" ht="30" customHeight="1">
      <x:c r="A31" s="22"/>
      <x:c r="B31" s="18"/>
      <x:c r="C31" s="18"/>
      <x:c r="D31" s="18"/>
      <x:c r="E31" s="18"/>
      <x:c r="F31" s="18"/>
      <x:c r="G31" s="18"/>
      <x:c r="H31" s="18"/>
      <x:c r="I31" s="24"/>
      <x:c r="J31" s="24"/>
      <x:c r="K31" s="26"/>
      <x:c r="L31" s="28"/>
      <x:c r="M31" s="18"/>
      <x:c r="N31" s="18"/>
      <x:c r="O31" s="18"/>
      <x:c r="P31" s="18"/>
      <x:c r="Q31" s="18"/>
      <x:c r="R31" s="18"/>
    </x:row>
    <x:row r="32" ht="30" customHeight="1">
      <x:c r="A32" s="22"/>
      <x:c r="B32" s="18"/>
      <x:c r="C32" s="18"/>
      <x:c r="D32" s="18"/>
      <x:c r="E32" s="18"/>
      <x:c r="F32" s="18"/>
      <x:c r="G32" s="18"/>
      <x:c r="H32" s="18"/>
      <x:c r="I32" s="24"/>
      <x:c r="J32" s="24"/>
      <x:c r="K32" s="26"/>
      <x:c r="L32" s="28"/>
      <x:c r="M32" s="18"/>
      <x:c r="N32" s="18"/>
      <x:c r="O32" s="18"/>
      <x:c r="P32" s="18"/>
      <x:c r="Q32" s="18"/>
      <x:c r="R32" s="18"/>
    </x:row>
    <x:row r="33" ht="30" customHeight="1">
      <x:c r="A33" s="22"/>
      <x:c r="B33" s="18"/>
      <x:c r="C33" s="18"/>
      <x:c r="D33" s="18"/>
      <x:c r="E33" s="18"/>
      <x:c r="F33" s="18"/>
      <x:c r="G33" s="18"/>
      <x:c r="H33" s="18"/>
      <x:c r="I33" s="24"/>
      <x:c r="J33" s="24"/>
      <x:c r="K33" s="26"/>
      <x:c r="L33" s="28"/>
      <x:c r="M33" s="18"/>
      <x:c r="N33" s="18"/>
      <x:c r="O33" s="18"/>
      <x:c r="P33" s="18"/>
      <x:c r="Q33" s="18"/>
      <x:c r="R33" s="18"/>
    </x:row>
    <x:row r="34" ht="30" customHeight="1">
      <x:c r="A34" s="22"/>
      <x:c r="B34" s="18"/>
      <x:c r="C34" s="18"/>
      <x:c r="D34" s="18"/>
      <x:c r="E34" s="18"/>
      <x:c r="F34" s="18"/>
      <x:c r="G34" s="18"/>
      <x:c r="H34" s="18"/>
      <x:c r="I34" s="24"/>
      <x:c r="J34" s="24"/>
      <x:c r="K34" s="26"/>
      <x:c r="L34" s="28"/>
      <x:c r="M34" s="18"/>
      <x:c r="N34" s="18"/>
      <x:c r="O34" s="18"/>
      <x:c r="P34" s="18"/>
      <x:c r="Q34" s="18"/>
      <x:c r="R34" s="18"/>
    </x:row>
    <x:row r="35" ht="30" customHeight="1">
      <x:c r="A35" s="22"/>
      <x:c r="B35" s="18"/>
      <x:c r="C35" s="18"/>
      <x:c r="D35" s="18"/>
      <x:c r="E35" s="18"/>
      <x:c r="F35" s="18"/>
      <x:c r="G35" s="18"/>
      <x:c r="H35" s="18"/>
      <x:c r="I35" s="24"/>
      <x:c r="J35" s="24"/>
      <x:c r="K35" s="26"/>
      <x:c r="L35" s="28"/>
      <x:c r="M35" s="18"/>
      <x:c r="N35" s="18"/>
      <x:c r="O35" s="18"/>
      <x:c r="P35" s="18"/>
      <x:c r="Q35" s="18"/>
      <x:c r="R35" s="18"/>
    </x:row>
    <x:row r="36" ht="30" customHeight="1">
      <x:c r="A36" s="22"/>
      <x:c r="B36" s="18"/>
      <x:c r="C36" s="18"/>
      <x:c r="D36" s="18"/>
      <x:c r="E36" s="18"/>
      <x:c r="F36" s="18"/>
      <x:c r="G36" s="18"/>
      <x:c r="H36" s="18"/>
      <x:c r="I36" s="24"/>
      <x:c r="J36" s="24"/>
      <x:c r="K36" s="26"/>
      <x:c r="L36" s="28"/>
      <x:c r="M36" s="18"/>
      <x:c r="N36" s="18"/>
      <x:c r="O36" s="18"/>
      <x:c r="P36" s="18"/>
      <x:c r="Q36" s="18"/>
      <x:c r="R36" s="18"/>
    </x:row>
    <x:row r="37" ht="30" customHeight="1">
      <x:c r="A37" s="22"/>
      <x:c r="B37" s="18"/>
      <x:c r="C37" s="18"/>
      <x:c r="D37" s="18"/>
      <x:c r="E37" s="18"/>
      <x:c r="F37" s="18"/>
      <x:c r="G37" s="18"/>
      <x:c r="H37" s="18"/>
      <x:c r="I37" s="24"/>
      <x:c r="J37" s="24"/>
      <x:c r="K37" s="26"/>
      <x:c r="L37" s="28"/>
      <x:c r="M37" s="18"/>
      <x:c r="N37" s="18"/>
      <x:c r="O37" s="18"/>
      <x:c r="P37" s="18"/>
      <x:c r="Q37" s="18"/>
      <x:c r="R37" s="18"/>
    </x:row>
    <x:row r="38" ht="30" customHeight="1">
      <x:c r="A38" s="22"/>
      <x:c r="B38" s="18"/>
      <x:c r="C38" s="18"/>
      <x:c r="D38" s="18"/>
      <x:c r="E38" s="18"/>
      <x:c r="F38" s="18"/>
      <x:c r="G38" s="18"/>
      <x:c r="H38" s="18"/>
      <x:c r="I38" s="24"/>
      <x:c r="J38" s="24"/>
      <x:c r="K38" s="26"/>
      <x:c r="L38" s="28"/>
      <x:c r="M38" s="18"/>
      <x:c r="N38" s="18"/>
      <x:c r="O38" s="18"/>
      <x:c r="P38" s="18"/>
      <x:c r="Q38" s="18"/>
      <x:c r="R38" s="18"/>
    </x:row>
    <x:row r="39" ht="30" customHeight="1">
      <x:c r="A39" s="22"/>
      <x:c r="B39" s="18"/>
      <x:c r="C39" s="18"/>
      <x:c r="D39" s="18"/>
      <x:c r="E39" s="18"/>
      <x:c r="F39" s="18"/>
      <x:c r="G39" s="18"/>
      <x:c r="H39" s="18"/>
      <x:c r="I39" s="24"/>
      <x:c r="J39" s="24"/>
      <x:c r="K39" s="26"/>
      <x:c r="L39" s="28"/>
      <x:c r="M39" s="18"/>
      <x:c r="N39" s="18"/>
      <x:c r="O39" s="18"/>
      <x:c r="P39" s="18"/>
      <x:c r="Q39" s="18"/>
      <x:c r="R39" s="18"/>
    </x:row>
    <x:row r="40" ht="30" customHeight="1">
      <x:c r="A40" s="22"/>
      <x:c r="B40" s="18"/>
      <x:c r="C40" s="18"/>
      <x:c r="D40" s="18"/>
      <x:c r="E40" s="18"/>
      <x:c r="F40" s="18"/>
      <x:c r="G40" s="18"/>
      <x:c r="H40" s="18"/>
      <x:c r="I40" s="24"/>
      <x:c r="J40" s="24"/>
      <x:c r="K40" s="26"/>
      <x:c r="L40" s="28"/>
      <x:c r="M40" s="18"/>
      <x:c r="N40" s="18"/>
      <x:c r="O40" s="18"/>
      <x:c r="P40" s="18"/>
      <x:c r="Q40" s="18"/>
      <x:c r="R40" s="18"/>
    </x:row>
    <x:row r="41" ht="30" customHeight="1">
      <x:c r="A41" s="22"/>
      <x:c r="B41" s="18"/>
      <x:c r="C41" s="18"/>
      <x:c r="D41" s="18"/>
      <x:c r="E41" s="18"/>
      <x:c r="F41" s="18"/>
      <x:c r="G41" s="18"/>
      <x:c r="H41" s="18"/>
      <x:c r="I41" s="24"/>
      <x:c r="J41" s="24"/>
      <x:c r="K41" s="26"/>
      <x:c r="L41" s="28"/>
      <x:c r="M41" s="18"/>
      <x:c r="N41" s="18"/>
      <x:c r="O41" s="18"/>
      <x:c r="P41" s="18"/>
      <x:c r="Q41" s="18"/>
      <x:c r="R41" s="18"/>
    </x:row>
    <x:row r="42" ht="30" customHeight="1">
      <x:c r="A42" s="22"/>
      <x:c r="B42" s="18"/>
      <x:c r="C42" s="18"/>
      <x:c r="D42" s="18"/>
      <x:c r="E42" s="18"/>
      <x:c r="F42" s="18"/>
      <x:c r="G42" s="18"/>
      <x:c r="H42" s="18"/>
      <x:c r="I42" s="24"/>
      <x:c r="J42" s="24"/>
      <x:c r="K42" s="26"/>
      <x:c r="L42" s="28"/>
      <x:c r="M42" s="18"/>
      <x:c r="N42" s="18"/>
      <x:c r="O42" s="18"/>
      <x:c r="P42" s="18"/>
      <x:c r="Q42" s="18"/>
      <x:c r="R42" s="18"/>
    </x:row>
    <x:row r="43" ht="30" customHeight="1">
      <x:c r="A43" s="22"/>
      <x:c r="B43" s="18"/>
      <x:c r="C43" s="18"/>
      <x:c r="D43" s="18"/>
      <x:c r="E43" s="18"/>
      <x:c r="F43" s="18"/>
      <x:c r="G43" s="18"/>
      <x:c r="H43" s="18"/>
      <x:c r="I43" s="24"/>
      <x:c r="J43" s="24"/>
      <x:c r="K43" s="26"/>
      <x:c r="L43" s="28"/>
      <x:c r="M43" s="18"/>
      <x:c r="N43" s="18"/>
      <x:c r="O43" s="18"/>
      <x:c r="P43" s="18"/>
      <x:c r="Q43" s="18"/>
      <x:c r="R43" s="18"/>
    </x:row>
    <x:row r="44" ht="30" customHeight="1">
      <x:c r="A44" s="22"/>
      <x:c r="B44" s="18"/>
      <x:c r="C44" s="18"/>
      <x:c r="D44" s="18"/>
      <x:c r="E44" s="18"/>
      <x:c r="F44" s="18"/>
      <x:c r="G44" s="18"/>
      <x:c r="H44" s="18"/>
      <x:c r="I44" s="24"/>
      <x:c r="J44" s="24"/>
      <x:c r="K44" s="26"/>
      <x:c r="L44" s="28"/>
      <x:c r="M44" s="18"/>
      <x:c r="N44" s="18"/>
      <x:c r="O44" s="18"/>
      <x:c r="P44" s="18"/>
      <x:c r="Q44" s="18"/>
      <x:c r="R44" s="18"/>
    </x:row>
    <x:row r="45" ht="30" customHeight="1">
      <x:c r="A45" s="22"/>
      <x:c r="B45" s="18"/>
      <x:c r="C45" s="18"/>
      <x:c r="D45" s="18"/>
      <x:c r="E45" s="18"/>
      <x:c r="F45" s="18"/>
      <x:c r="G45" s="18"/>
      <x:c r="H45" s="18"/>
      <x:c r="I45" s="24"/>
      <x:c r="J45" s="24"/>
      <x:c r="K45" s="26"/>
      <x:c r="L45" s="28"/>
      <x:c r="M45" s="18"/>
      <x:c r="N45" s="18"/>
      <x:c r="O45" s="18"/>
      <x:c r="P45" s="18"/>
      <x:c r="Q45" s="18"/>
      <x:c r="R45" s="18"/>
    </x:row>
    <x:row r="46" ht="30" customHeight="1">
      <x:c r="A46" s="22"/>
      <x:c r="B46" s="18"/>
      <x:c r="C46" s="18"/>
      <x:c r="D46" s="18"/>
      <x:c r="E46" s="18"/>
      <x:c r="F46" s="18"/>
      <x:c r="G46" s="18"/>
      <x:c r="H46" s="18"/>
      <x:c r="I46" s="24"/>
      <x:c r="J46" s="24"/>
      <x:c r="K46" s="26"/>
      <x:c r="L46" s="28"/>
      <x:c r="M46" s="18"/>
      <x:c r="N46" s="18"/>
      <x:c r="O46" s="18"/>
      <x:c r="P46" s="18"/>
      <x:c r="Q46" s="18"/>
      <x:c r="R46" s="18"/>
    </x:row>
    <x:row r="47" ht="30" customHeight="1">
      <x:c r="A47" s="22"/>
      <x:c r="B47" s="18"/>
      <x:c r="C47" s="18"/>
      <x:c r="D47" s="18"/>
      <x:c r="E47" s="18"/>
      <x:c r="F47" s="18"/>
      <x:c r="G47" s="18"/>
      <x:c r="H47" s="18"/>
      <x:c r="I47" s="24"/>
      <x:c r="J47" s="24"/>
      <x:c r="K47" s="26"/>
      <x:c r="L47" s="28"/>
      <x:c r="M47" s="18"/>
      <x:c r="N47" s="18"/>
      <x:c r="O47" s="18"/>
      <x:c r="P47" s="18"/>
      <x:c r="Q47" s="18"/>
      <x:c r="R47" s="18"/>
    </x:row>
    <x:row r="48" ht="30" customHeight="1">
      <x:c r="A48" s="22"/>
      <x:c r="B48" s="18"/>
      <x:c r="C48" s="18"/>
      <x:c r="D48" s="18"/>
      <x:c r="E48" s="18"/>
      <x:c r="F48" s="18"/>
      <x:c r="G48" s="18"/>
      <x:c r="H48" s="18"/>
      <x:c r="I48" s="24"/>
      <x:c r="J48" s="24"/>
      <x:c r="K48" s="26"/>
      <x:c r="L48" s="28"/>
      <x:c r="M48" s="18"/>
      <x:c r="N48" s="18"/>
      <x:c r="O48" s="18"/>
      <x:c r="P48" s="18"/>
      <x:c r="Q48" s="18"/>
      <x:c r="R48" s="18"/>
    </x:row>
    <x:row r="49" ht="30" customHeight="1">
      <x:c r="A49" s="22"/>
      <x:c r="B49" s="18"/>
      <x:c r="C49" s="18"/>
      <x:c r="D49" s="18"/>
      <x:c r="E49" s="18"/>
      <x:c r="F49" s="18"/>
      <x:c r="G49" s="18"/>
      <x:c r="H49" s="18"/>
      <x:c r="I49" s="24"/>
      <x:c r="J49" s="24"/>
      <x:c r="K49" s="26"/>
      <x:c r="L49" s="28"/>
      <x:c r="M49" s="18"/>
      <x:c r="N49" s="18"/>
      <x:c r="O49" s="18"/>
      <x:c r="P49" s="18"/>
      <x:c r="Q49" s="18"/>
      <x:c r="R49" s="18"/>
    </x:row>
    <x:row r="50" ht="30" customHeight="1">
      <x:c r="A50" s="22"/>
      <x:c r="B50" s="18"/>
      <x:c r="C50" s="18"/>
      <x:c r="D50" s="18"/>
      <x:c r="E50" s="18"/>
      <x:c r="F50" s="18"/>
      <x:c r="G50" s="18"/>
      <x:c r="H50" s="18"/>
      <x:c r="I50" s="24"/>
      <x:c r="J50" s="24"/>
      <x:c r="K50" s="26"/>
      <x:c r="L50" s="28"/>
      <x:c r="M50" s="18"/>
      <x:c r="N50" s="18"/>
      <x:c r="O50" s="18"/>
      <x:c r="P50" s="18"/>
      <x:c r="Q50" s="18"/>
      <x:c r="R50" s="18"/>
    </x:row>
    <x:row r="51" ht="30" customHeight="1">
      <x:c r="A51" s="22"/>
      <x:c r="B51" s="18"/>
      <x:c r="C51" s="18"/>
      <x:c r="D51" s="18"/>
      <x:c r="E51" s="18"/>
      <x:c r="F51" s="18"/>
      <x:c r="G51" s="18"/>
      <x:c r="H51" s="18"/>
      <x:c r="I51" s="24"/>
      <x:c r="J51" s="24"/>
      <x:c r="K51" s="26"/>
      <x:c r="L51" s="28"/>
      <x:c r="M51" s="18"/>
      <x:c r="N51" s="18"/>
      <x:c r="O51" s="18"/>
      <x:c r="P51" s="18"/>
      <x:c r="Q51" s="18"/>
      <x:c r="R51" s="18"/>
    </x:row>
    <x:row r="52" ht="30" customHeight="1">
      <x:c r="A52" s="22"/>
      <x:c r="B52" s="18"/>
      <x:c r="C52" s="18"/>
      <x:c r="D52" s="18"/>
      <x:c r="E52" s="18"/>
      <x:c r="F52" s="18"/>
      <x:c r="G52" s="18"/>
      <x:c r="H52" s="18"/>
      <x:c r="I52" s="24"/>
      <x:c r="J52" s="24"/>
      <x:c r="K52" s="26"/>
      <x:c r="L52" s="28"/>
      <x:c r="M52" s="18"/>
      <x:c r="N52" s="18"/>
      <x:c r="O52" s="18"/>
      <x:c r="P52" s="18"/>
      <x:c r="Q52" s="18"/>
      <x:c r="R52" s="18"/>
    </x:row>
    <x:row r="53" ht="30" customHeight="1">
      <x:c r="A53" s="22"/>
      <x:c r="B53" s="18"/>
      <x:c r="C53" s="18"/>
      <x:c r="D53" s="18"/>
      <x:c r="E53" s="18"/>
      <x:c r="F53" s="18"/>
      <x:c r="G53" s="18"/>
      <x:c r="H53" s="18"/>
      <x:c r="I53" s="24"/>
      <x:c r="J53" s="24"/>
      <x:c r="K53" s="26"/>
      <x:c r="L53" s="28"/>
      <x:c r="M53" s="18"/>
      <x:c r="N53" s="18"/>
      <x:c r="O53" s="18"/>
      <x:c r="P53" s="18"/>
      <x:c r="Q53" s="18"/>
      <x:c r="R53" s="18"/>
    </x:row>
    <x:row r="54" ht="30" customHeight="1">
      <x:c r="A54" s="22"/>
      <x:c r="B54" s="18"/>
      <x:c r="C54" s="18"/>
      <x:c r="D54" s="18"/>
      <x:c r="E54" s="18"/>
      <x:c r="F54" s="18"/>
      <x:c r="G54" s="18"/>
      <x:c r="H54" s="18"/>
      <x:c r="I54" s="24"/>
      <x:c r="J54" s="24"/>
      <x:c r="K54" s="26"/>
      <x:c r="L54" s="28"/>
      <x:c r="M54" s="18"/>
      <x:c r="N54" s="18"/>
      <x:c r="O54" s="18"/>
      <x:c r="P54" s="18"/>
      <x:c r="Q54" s="18"/>
      <x:c r="R54" s="18"/>
    </x:row>
    <x:row r="55" ht="30" customHeight="1">
      <x:c r="A55" s="22"/>
      <x:c r="B55" s="18"/>
      <x:c r="C55" s="18"/>
      <x:c r="D55" s="18"/>
      <x:c r="E55" s="18"/>
      <x:c r="F55" s="18"/>
      <x:c r="G55" s="18"/>
      <x:c r="H55" s="18"/>
      <x:c r="I55" s="24"/>
      <x:c r="J55" s="24"/>
      <x:c r="K55" s="26"/>
      <x:c r="L55" s="28"/>
      <x:c r="M55" s="18"/>
      <x:c r="N55" s="18"/>
      <x:c r="O55" s="18"/>
      <x:c r="P55" s="18"/>
      <x:c r="Q55" s="18"/>
      <x:c r="R55" s="18"/>
    </x:row>
    <x:row r="56" ht="30" customHeight="1">
      <x:c r="A56" s="22"/>
      <x:c r="B56" s="18"/>
      <x:c r="C56" s="18"/>
      <x:c r="D56" s="18"/>
      <x:c r="E56" s="18"/>
      <x:c r="F56" s="18"/>
      <x:c r="G56" s="18"/>
      <x:c r="H56" s="18"/>
      <x:c r="I56" s="24"/>
      <x:c r="J56" s="24"/>
      <x:c r="K56" s="26"/>
      <x:c r="L56" s="28"/>
      <x:c r="M56" s="18"/>
      <x:c r="N56" s="18"/>
      <x:c r="O56" s="18"/>
      <x:c r="P56" s="18"/>
      <x:c r="Q56" s="18"/>
      <x:c r="R56" s="18"/>
    </x:row>
    <x:row r="57" ht="30" customHeight="1">
      <x:c r="A57" s="22"/>
      <x:c r="B57" s="18"/>
      <x:c r="C57" s="18"/>
      <x:c r="D57" s="18"/>
      <x:c r="E57" s="18"/>
      <x:c r="F57" s="18"/>
      <x:c r="G57" s="18"/>
      <x:c r="H57" s="18"/>
      <x:c r="I57" s="24"/>
      <x:c r="J57" s="24"/>
      <x:c r="K57" s="26"/>
      <x:c r="L57" s="28"/>
      <x:c r="M57" s="18"/>
      <x:c r="N57" s="18"/>
      <x:c r="O57" s="18"/>
      <x:c r="P57" s="18"/>
      <x:c r="Q57" s="18"/>
      <x:c r="R57" s="18"/>
    </x:row>
    <x:row r="58" ht="30" customHeight="1">
      <x:c r="A58" s="22"/>
      <x:c r="B58" s="18"/>
      <x:c r="C58" s="18"/>
      <x:c r="D58" s="18"/>
      <x:c r="E58" s="18"/>
      <x:c r="F58" s="18"/>
      <x:c r="G58" s="18"/>
      <x:c r="H58" s="18"/>
      <x:c r="I58" s="24"/>
      <x:c r="J58" s="24"/>
      <x:c r="K58" s="26"/>
      <x:c r="L58" s="28"/>
      <x:c r="M58" s="18"/>
      <x:c r="N58" s="18"/>
      <x:c r="O58" s="18"/>
      <x:c r="P58" s="18"/>
      <x:c r="Q58" s="18"/>
      <x:c r="R58" s="18"/>
    </x:row>
    <x:row r="59" ht="30" customHeight="1">
      <x:c r="A59" s="22"/>
      <x:c r="B59" s="18"/>
      <x:c r="C59" s="18"/>
      <x:c r="D59" s="18"/>
      <x:c r="E59" s="18"/>
      <x:c r="F59" s="18"/>
      <x:c r="G59" s="18"/>
      <x:c r="H59" s="18"/>
      <x:c r="I59" s="24"/>
      <x:c r="J59" s="24"/>
      <x:c r="K59" s="26"/>
      <x:c r="L59" s="28"/>
      <x:c r="M59" s="18"/>
      <x:c r="N59" s="18"/>
      <x:c r="O59" s="18"/>
      <x:c r="P59" s="18"/>
      <x:c r="Q59" s="18"/>
      <x:c r="R59" s="18"/>
    </x:row>
    <x:row r="60" ht="30" customHeight="1">
      <x:c r="A60" s="22"/>
      <x:c r="B60" s="18"/>
      <x:c r="C60" s="18"/>
      <x:c r="D60" s="18"/>
      <x:c r="E60" s="18"/>
      <x:c r="F60" s="18"/>
      <x:c r="G60" s="18"/>
      <x:c r="H60" s="18"/>
      <x:c r="I60" s="24"/>
      <x:c r="J60" s="24"/>
      <x:c r="K60" s="26"/>
      <x:c r="L60" s="28"/>
      <x:c r="M60" s="18"/>
      <x:c r="N60" s="18"/>
      <x:c r="O60" s="18"/>
      <x:c r="P60" s="18"/>
      <x:c r="Q60" s="18"/>
      <x:c r="R60" s="18"/>
    </x:row>
    <x:row r="61" ht="30" customHeight="1">
      <x:c r="A61" s="22"/>
      <x:c r="B61" s="18"/>
      <x:c r="C61" s="18"/>
      <x:c r="D61" s="18"/>
      <x:c r="E61" s="18"/>
      <x:c r="F61" s="18"/>
      <x:c r="G61" s="18"/>
      <x:c r="H61" s="18"/>
      <x:c r="I61" s="24"/>
      <x:c r="J61" s="24"/>
      <x:c r="K61" s="26"/>
      <x:c r="L61" s="28"/>
      <x:c r="M61" s="18"/>
      <x:c r="N61" s="18"/>
      <x:c r="O61" s="18"/>
      <x:c r="P61" s="18"/>
      <x:c r="Q61" s="18"/>
      <x:c r="R61" s="18"/>
    </x:row>
    <x:row r="62" ht="30" customHeight="1">
      <x:c r="A62" s="22"/>
      <x:c r="B62" s="18"/>
      <x:c r="C62" s="18"/>
      <x:c r="D62" s="18"/>
      <x:c r="E62" s="18"/>
      <x:c r="F62" s="18"/>
      <x:c r="G62" s="18"/>
      <x:c r="H62" s="18"/>
      <x:c r="I62" s="24"/>
      <x:c r="J62" s="24"/>
      <x:c r="K62" s="26"/>
      <x:c r="L62" s="28"/>
      <x:c r="M62" s="18"/>
      <x:c r="N62" s="18"/>
      <x:c r="O62" s="18"/>
      <x:c r="P62" s="18"/>
      <x:c r="Q62" s="18"/>
      <x:c r="R62" s="18"/>
    </x:row>
    <x:row r="63" ht="30" customHeight="1">
      <x:c r="A63" s="22"/>
      <x:c r="B63" s="18"/>
      <x:c r="C63" s="18"/>
      <x:c r="D63" s="18"/>
      <x:c r="E63" s="18"/>
      <x:c r="F63" s="18"/>
      <x:c r="G63" s="18"/>
      <x:c r="H63" s="18"/>
      <x:c r="I63" s="24"/>
      <x:c r="J63" s="24"/>
      <x:c r="K63" s="26"/>
      <x:c r="L63" s="28"/>
      <x:c r="M63" s="18"/>
      <x:c r="N63" s="18"/>
      <x:c r="O63" s="18"/>
      <x:c r="P63" s="18"/>
      <x:c r="Q63" s="18"/>
      <x:c r="R63" s="18"/>
    </x:row>
    <x:row r="64" ht="30" customHeight="1">
      <x:c r="A64" s="22"/>
      <x:c r="B64" s="18"/>
      <x:c r="C64" s="18"/>
      <x:c r="D64" s="18"/>
      <x:c r="E64" s="18"/>
      <x:c r="F64" s="18"/>
      <x:c r="G64" s="18"/>
      <x:c r="H64" s="18"/>
      <x:c r="I64" s="24"/>
      <x:c r="J64" s="24"/>
      <x:c r="K64" s="26"/>
      <x:c r="L64" s="28"/>
      <x:c r="M64" s="18"/>
      <x:c r="N64" s="18"/>
      <x:c r="O64" s="18"/>
      <x:c r="P64" s="18"/>
      <x:c r="Q64" s="18"/>
      <x:c r="R64" s="18"/>
    </x:row>
    <x:row r="65" ht="30" customHeight="1">
      <x:c r="A65" s="22"/>
      <x:c r="B65" s="18"/>
      <x:c r="C65" s="18"/>
      <x:c r="D65" s="18"/>
      <x:c r="E65" s="18"/>
      <x:c r="F65" s="18"/>
      <x:c r="G65" s="18"/>
      <x:c r="H65" s="18"/>
      <x:c r="I65" s="24"/>
      <x:c r="J65" s="24"/>
      <x:c r="K65" s="26"/>
      <x:c r="L65" s="28"/>
      <x:c r="M65" s="18"/>
      <x:c r="N65" s="18"/>
      <x:c r="O65" s="18"/>
      <x:c r="P65" s="18"/>
      <x:c r="Q65" s="18"/>
      <x:c r="R65" s="18"/>
    </x:row>
    <x:row r="66" ht="30" customHeight="1">
      <x:c r="A66" s="22"/>
      <x:c r="B66" s="18"/>
      <x:c r="C66" s="18"/>
      <x:c r="D66" s="18"/>
      <x:c r="E66" s="18"/>
      <x:c r="F66" s="18"/>
      <x:c r="G66" s="18"/>
      <x:c r="H66" s="18"/>
      <x:c r="I66" s="24"/>
      <x:c r="J66" s="24"/>
      <x:c r="K66" s="26"/>
      <x:c r="L66" s="28"/>
      <x:c r="M66" s="18"/>
      <x:c r="N66" s="18"/>
      <x:c r="O66" s="18"/>
      <x:c r="P66" s="18"/>
      <x:c r="Q66" s="18"/>
      <x:c r="R66" s="18"/>
    </x:row>
    <x:row r="67" ht="30" customHeight="1">
      <x:c r="A67" s="22"/>
      <x:c r="B67" s="18"/>
      <x:c r="C67" s="18"/>
      <x:c r="D67" s="18"/>
      <x:c r="E67" s="18"/>
      <x:c r="F67" s="18"/>
      <x:c r="G67" s="18"/>
      <x:c r="H67" s="18"/>
      <x:c r="I67" s="24"/>
      <x:c r="J67" s="24"/>
      <x:c r="K67" s="26"/>
      <x:c r="L67" s="28"/>
      <x:c r="M67" s="18"/>
      <x:c r="N67" s="18"/>
      <x:c r="O67" s="18"/>
      <x:c r="P67" s="18"/>
      <x:c r="Q67" s="18"/>
      <x:c r="R67" s="18"/>
    </x:row>
    <x:row r="68" ht="30" customHeight="1">
      <x:c r="A68" s="22"/>
      <x:c r="B68" s="18"/>
      <x:c r="C68" s="18"/>
      <x:c r="D68" s="18"/>
      <x:c r="E68" s="18"/>
      <x:c r="F68" s="18"/>
      <x:c r="G68" s="18"/>
      <x:c r="H68" s="18"/>
      <x:c r="I68" s="24"/>
      <x:c r="J68" s="24"/>
      <x:c r="K68" s="26"/>
      <x:c r="L68" s="28"/>
      <x:c r="M68" s="18"/>
      <x:c r="N68" s="18"/>
      <x:c r="O68" s="18"/>
      <x:c r="P68" s="18"/>
      <x:c r="Q68" s="18"/>
      <x:c r="R68" s="18"/>
    </x:row>
    <x:row r="69" ht="30" customHeight="1">
      <x:c r="A69" s="22"/>
      <x:c r="B69" s="18"/>
      <x:c r="C69" s="18"/>
      <x:c r="D69" s="18"/>
      <x:c r="E69" s="18"/>
      <x:c r="F69" s="18"/>
      <x:c r="G69" s="18"/>
      <x:c r="H69" s="18"/>
      <x:c r="I69" s="24"/>
      <x:c r="J69" s="24"/>
      <x:c r="K69" s="26"/>
      <x:c r="L69" s="28"/>
      <x:c r="M69" s="18"/>
      <x:c r="N69" s="18"/>
      <x:c r="O69" s="18"/>
      <x:c r="P69" s="18"/>
      <x:c r="Q69" s="18"/>
      <x:c r="R69" s="18"/>
    </x:row>
    <x:row r="70" ht="30" customHeight="1">
      <x:c r="A70" s="22"/>
      <x:c r="B70" s="18"/>
      <x:c r="C70" s="18"/>
      <x:c r="D70" s="18"/>
      <x:c r="E70" s="18"/>
      <x:c r="F70" s="18"/>
      <x:c r="G70" s="18"/>
      <x:c r="H70" s="18"/>
      <x:c r="I70" s="24"/>
      <x:c r="J70" s="24"/>
      <x:c r="K70" s="26"/>
      <x:c r="L70" s="28"/>
      <x:c r="M70" s="18"/>
      <x:c r="N70" s="18"/>
      <x:c r="O70" s="18"/>
      <x:c r="P70" s="18"/>
      <x:c r="Q70" s="18"/>
      <x:c r="R70" s="18"/>
    </x:row>
    <x:row r="71" ht="30" customHeight="1">
      <x:c r="A71" s="22"/>
      <x:c r="B71" s="18"/>
      <x:c r="C71" s="18"/>
      <x:c r="D71" s="18"/>
      <x:c r="E71" s="18"/>
      <x:c r="F71" s="18"/>
      <x:c r="G71" s="18"/>
      <x:c r="H71" s="18"/>
      <x:c r="I71" s="24"/>
      <x:c r="J71" s="24"/>
      <x:c r="K71" s="26"/>
      <x:c r="L71" s="28"/>
      <x:c r="M71" s="18"/>
      <x:c r="N71" s="18"/>
      <x:c r="O71" s="18"/>
      <x:c r="P71" s="18"/>
      <x:c r="Q71" s="18"/>
      <x:c r="R71" s="18"/>
    </x:row>
    <x:row r="72" ht="30" customHeight="1">
      <x:c r="A72" s="22"/>
      <x:c r="B72" s="18"/>
      <x:c r="C72" s="18"/>
      <x:c r="D72" s="18"/>
      <x:c r="E72" s="18"/>
      <x:c r="F72" s="18"/>
      <x:c r="G72" s="18"/>
      <x:c r="H72" s="18"/>
      <x:c r="I72" s="24"/>
      <x:c r="J72" s="24"/>
      <x:c r="K72" s="26"/>
      <x:c r="L72" s="28"/>
      <x:c r="M72" s="18"/>
      <x:c r="N72" s="18"/>
      <x:c r="O72" s="18"/>
      <x:c r="P72" s="18"/>
      <x:c r="Q72" s="18"/>
      <x:c r="R72" s="18"/>
    </x:row>
    <x:row r="73" ht="30" customHeight="1">
      <x:c r="A73" s="22"/>
      <x:c r="B73" s="18"/>
      <x:c r="C73" s="18"/>
      <x:c r="D73" s="18"/>
      <x:c r="E73" s="18"/>
      <x:c r="F73" s="18"/>
      <x:c r="G73" s="18"/>
      <x:c r="H73" s="18"/>
      <x:c r="I73" s="24"/>
      <x:c r="J73" s="24"/>
      <x:c r="K73" s="26"/>
      <x:c r="L73" s="28"/>
      <x:c r="M73" s="18"/>
      <x:c r="N73" s="18"/>
      <x:c r="O73" s="18"/>
      <x:c r="P73" s="18"/>
      <x:c r="Q73" s="18"/>
      <x:c r="R73" s="18"/>
    </x:row>
    <x:row r="74" ht="30" customHeight="1">
      <x:c r="A74" s="22"/>
      <x:c r="B74" s="18"/>
      <x:c r="C74" s="18"/>
      <x:c r="D74" s="18"/>
      <x:c r="E74" s="18"/>
      <x:c r="F74" s="18"/>
      <x:c r="G74" s="18"/>
      <x:c r="H74" s="18"/>
      <x:c r="I74" s="24"/>
      <x:c r="J74" s="24"/>
      <x:c r="K74" s="26"/>
      <x:c r="L74" s="28"/>
      <x:c r="M74" s="18"/>
      <x:c r="N74" s="18"/>
      <x:c r="O74" s="18"/>
      <x:c r="P74" s="18"/>
      <x:c r="Q74" s="18"/>
      <x:c r="R74" s="18"/>
    </x:row>
    <x:row r="75" ht="30" customHeight="1">
      <x:c r="A75" s="22"/>
      <x:c r="B75" s="18"/>
      <x:c r="C75" s="18"/>
      <x:c r="D75" s="18"/>
      <x:c r="E75" s="18"/>
      <x:c r="F75" s="18"/>
      <x:c r="G75" s="18"/>
      <x:c r="H75" s="18"/>
      <x:c r="I75" s="24"/>
      <x:c r="J75" s="24"/>
      <x:c r="K75" s="26"/>
      <x:c r="L75" s="28"/>
      <x:c r="M75" s="18"/>
      <x:c r="N75" s="18"/>
      <x:c r="O75" s="18"/>
      <x:c r="P75" s="18"/>
      <x:c r="Q75" s="18"/>
      <x:c r="R75" s="18"/>
    </x:row>
    <x:row r="76" ht="30" customHeight="1">
      <x:c r="A76" s="22"/>
      <x:c r="B76" s="18"/>
      <x:c r="C76" s="18"/>
      <x:c r="D76" s="18"/>
      <x:c r="E76" s="18"/>
      <x:c r="F76" s="18"/>
      <x:c r="G76" s="18"/>
      <x:c r="H76" s="18"/>
      <x:c r="I76" s="24"/>
      <x:c r="J76" s="24"/>
      <x:c r="K76" s="26"/>
      <x:c r="L76" s="28"/>
      <x:c r="M76" s="18"/>
      <x:c r="N76" s="18"/>
      <x:c r="O76" s="18"/>
      <x:c r="P76" s="18"/>
      <x:c r="Q76" s="18"/>
      <x:c r="R76" s="18"/>
    </x:row>
    <x:row r="77" ht="30" customHeight="1">
      <x:c r="A77" s="22"/>
      <x:c r="B77" s="18"/>
      <x:c r="C77" s="18"/>
      <x:c r="D77" s="18"/>
      <x:c r="E77" s="18"/>
      <x:c r="F77" s="18"/>
      <x:c r="G77" s="18"/>
      <x:c r="H77" s="18"/>
      <x:c r="I77" s="24"/>
      <x:c r="J77" s="24"/>
      <x:c r="K77" s="26"/>
      <x:c r="L77" s="28"/>
      <x:c r="M77" s="18"/>
      <x:c r="N77" s="18"/>
      <x:c r="O77" s="18"/>
      <x:c r="P77" s="18"/>
      <x:c r="Q77" s="18"/>
      <x:c r="R77" s="18"/>
    </x:row>
    <x:row r="78" ht="30" customHeight="1">
      <x:c r="A78" s="22"/>
      <x:c r="B78" s="18"/>
      <x:c r="C78" s="18"/>
      <x:c r="D78" s="18"/>
      <x:c r="E78" s="18"/>
      <x:c r="F78" s="18"/>
      <x:c r="G78" s="18"/>
      <x:c r="H78" s="18"/>
      <x:c r="I78" s="24"/>
      <x:c r="J78" s="24"/>
      <x:c r="K78" s="26"/>
      <x:c r="L78" s="28"/>
      <x:c r="M78" s="18"/>
      <x:c r="N78" s="18"/>
      <x:c r="O78" s="18"/>
      <x:c r="P78" s="18"/>
      <x:c r="Q78" s="18"/>
      <x:c r="R78" s="18"/>
    </x:row>
    <x:row r="79" ht="30" customHeight="1">
      <x:c r="A79" s="22"/>
      <x:c r="B79" s="18"/>
      <x:c r="C79" s="18"/>
      <x:c r="D79" s="18"/>
      <x:c r="E79" s="18"/>
      <x:c r="F79" s="18"/>
      <x:c r="G79" s="18"/>
      <x:c r="H79" s="18"/>
      <x:c r="I79" s="24"/>
      <x:c r="J79" s="24"/>
      <x:c r="K79" s="26"/>
      <x:c r="L79" s="28"/>
      <x:c r="M79" s="18"/>
      <x:c r="N79" s="18"/>
      <x:c r="O79" s="18"/>
      <x:c r="P79" s="18"/>
      <x:c r="Q79" s="18"/>
      <x:c r="R79" s="18"/>
    </x:row>
    <x:row r="80" ht="30" customHeight="1">
      <x:c r="A80" s="22"/>
      <x:c r="B80" s="18"/>
      <x:c r="C80" s="18"/>
      <x:c r="D80" s="18"/>
      <x:c r="E80" s="18"/>
      <x:c r="F80" s="18"/>
      <x:c r="G80" s="18"/>
      <x:c r="H80" s="18"/>
      <x:c r="I80" s="24"/>
      <x:c r="J80" s="24"/>
      <x:c r="K80" s="26"/>
      <x:c r="L80" s="28"/>
      <x:c r="M80" s="18"/>
      <x:c r="N80" s="18"/>
      <x:c r="O80" s="18"/>
      <x:c r="P80" s="18"/>
      <x:c r="Q80" s="18"/>
      <x:c r="R80" s="18"/>
    </x:row>
    <x:row r="81" ht="30" customHeight="1">
      <x:c r="A81" s="22"/>
      <x:c r="B81" s="18"/>
      <x:c r="C81" s="18"/>
      <x:c r="D81" s="18"/>
      <x:c r="E81" s="18"/>
      <x:c r="F81" s="18"/>
      <x:c r="G81" s="18"/>
      <x:c r="H81" s="18"/>
      <x:c r="I81" s="24"/>
      <x:c r="J81" s="24"/>
      <x:c r="K81" s="26"/>
      <x:c r="L81" s="28"/>
      <x:c r="M81" s="18"/>
      <x:c r="N81" s="18"/>
      <x:c r="O81" s="18"/>
      <x:c r="P81" s="18"/>
      <x:c r="Q81" s="18"/>
      <x:c r="R81" s="18"/>
    </x:row>
    <x:row r="82" ht="30" customHeight="1">
      <x:c r="A82" s="22"/>
      <x:c r="B82" s="18"/>
      <x:c r="C82" s="18"/>
      <x:c r="D82" s="18"/>
      <x:c r="E82" s="18"/>
      <x:c r="F82" s="18"/>
      <x:c r="G82" s="18"/>
      <x:c r="H82" s="18"/>
      <x:c r="I82" s="24"/>
      <x:c r="J82" s="24"/>
      <x:c r="K82" s="26"/>
      <x:c r="L82" s="28"/>
      <x:c r="M82" s="18"/>
      <x:c r="N82" s="18"/>
      <x:c r="O82" s="18"/>
      <x:c r="P82" s="18"/>
      <x:c r="Q82" s="18"/>
      <x:c r="R82" s="18"/>
    </x:row>
    <x:row r="83" ht="30" customHeight="1">
      <x:c r="A83" s="22"/>
      <x:c r="B83" s="18"/>
      <x:c r="C83" s="18"/>
      <x:c r="D83" s="18"/>
      <x:c r="E83" s="18"/>
      <x:c r="F83" s="18"/>
      <x:c r="G83" s="18"/>
      <x:c r="H83" s="18"/>
      <x:c r="I83" s="24"/>
      <x:c r="J83" s="24"/>
      <x:c r="K83" s="26"/>
      <x:c r="L83" s="28"/>
      <x:c r="M83" s="18"/>
      <x:c r="N83" s="18"/>
      <x:c r="O83" s="18"/>
      <x:c r="P83" s="18"/>
      <x:c r="Q83" s="18"/>
      <x:c r="R83" s="18"/>
    </x:row>
    <x:row r="84" ht="30" customHeight="1">
      <x:c r="A84" s="22"/>
      <x:c r="B84" s="18"/>
      <x:c r="C84" s="18"/>
      <x:c r="D84" s="18"/>
      <x:c r="E84" s="18"/>
      <x:c r="F84" s="18"/>
      <x:c r="G84" s="18"/>
      <x:c r="H84" s="18"/>
      <x:c r="I84" s="24"/>
      <x:c r="J84" s="24"/>
      <x:c r="K84" s="26"/>
      <x:c r="L84" s="28"/>
      <x:c r="M84" s="18"/>
      <x:c r="N84" s="18"/>
      <x:c r="O84" s="18"/>
      <x:c r="P84" s="18"/>
      <x:c r="Q84" s="18"/>
      <x:c r="R84" s="18"/>
    </x:row>
    <x:row r="85" ht="30" customHeight="1">
      <x:c r="A85" s="22"/>
      <x:c r="B85" s="18"/>
      <x:c r="C85" s="18"/>
      <x:c r="D85" s="18"/>
      <x:c r="E85" s="18"/>
      <x:c r="F85" s="18"/>
      <x:c r="G85" s="18"/>
      <x:c r="H85" s="18"/>
      <x:c r="I85" s="24"/>
      <x:c r="J85" s="24"/>
      <x:c r="K85" s="26"/>
      <x:c r="L85" s="28"/>
      <x:c r="M85" s="18"/>
      <x:c r="N85" s="18"/>
      <x:c r="O85" s="18"/>
      <x:c r="P85" s="18"/>
      <x:c r="Q85" s="18"/>
      <x:c r="R85" s="18"/>
    </x:row>
    <x:row r="86" ht="30" customHeight="1">
      <x:c r="A86" s="22"/>
      <x:c r="B86" s="18"/>
      <x:c r="C86" s="18"/>
      <x:c r="D86" s="18"/>
      <x:c r="E86" s="18"/>
      <x:c r="F86" s="18"/>
      <x:c r="G86" s="18"/>
      <x:c r="H86" s="18"/>
      <x:c r="I86" s="24"/>
      <x:c r="J86" s="24"/>
      <x:c r="K86" s="26"/>
      <x:c r="L86" s="28"/>
      <x:c r="M86" s="18"/>
      <x:c r="N86" s="18"/>
      <x:c r="O86" s="18"/>
      <x:c r="P86" s="18"/>
      <x:c r="Q86" s="18"/>
      <x:c r="R86" s="18"/>
    </x:row>
    <x:row r="87" ht="30" customHeight="1">
      <x:c r="A87" s="22"/>
      <x:c r="B87" s="18"/>
      <x:c r="C87" s="18"/>
      <x:c r="D87" s="18"/>
      <x:c r="E87" s="18"/>
      <x:c r="F87" s="18"/>
      <x:c r="G87" s="18"/>
      <x:c r="H87" s="18"/>
      <x:c r="I87" s="24"/>
      <x:c r="J87" s="24"/>
      <x:c r="K87" s="26"/>
      <x:c r="L87" s="28"/>
      <x:c r="M87" s="18"/>
      <x:c r="N87" s="18"/>
      <x:c r="O87" s="18"/>
      <x:c r="P87" s="18"/>
      <x:c r="Q87" s="18"/>
      <x:c r="R87" s="18"/>
    </x:row>
    <x:row r="88" ht="30" customHeight="1">
      <x:c r="A88" s="22"/>
      <x:c r="B88" s="18"/>
      <x:c r="C88" s="18"/>
      <x:c r="D88" s="18"/>
      <x:c r="E88" s="18"/>
      <x:c r="F88" s="18"/>
      <x:c r="G88" s="18"/>
      <x:c r="H88" s="18"/>
      <x:c r="I88" s="24"/>
      <x:c r="J88" s="24"/>
      <x:c r="K88" s="26"/>
      <x:c r="L88" s="28"/>
      <x:c r="M88" s="18"/>
      <x:c r="N88" s="18"/>
      <x:c r="O88" s="18"/>
      <x:c r="P88" s="18"/>
      <x:c r="Q88" s="18"/>
      <x:c r="R88" s="18"/>
    </x:row>
    <x:row r="89" ht="30" customHeight="1">
      <x:c r="A89" s="22"/>
      <x:c r="B89" s="18"/>
      <x:c r="C89" s="18"/>
      <x:c r="D89" s="18"/>
      <x:c r="E89" s="18"/>
      <x:c r="F89" s="18"/>
      <x:c r="G89" s="18"/>
      <x:c r="H89" s="18"/>
      <x:c r="I89" s="24"/>
      <x:c r="J89" s="24"/>
      <x:c r="K89" s="26"/>
      <x:c r="L89" s="28"/>
      <x:c r="M89" s="18"/>
      <x:c r="N89" s="18"/>
      <x:c r="O89" s="18"/>
      <x:c r="P89" s="18"/>
      <x:c r="Q89" s="18"/>
      <x:c r="R89" s="18"/>
    </x:row>
    <x:row r="90" ht="30" customHeight="1">
      <x:c r="A90" s="22"/>
      <x:c r="B90" s="18"/>
      <x:c r="C90" s="18"/>
      <x:c r="D90" s="18"/>
      <x:c r="E90" s="18"/>
      <x:c r="F90" s="18"/>
      <x:c r="G90" s="18"/>
      <x:c r="H90" s="18"/>
      <x:c r="I90" s="24"/>
      <x:c r="J90" s="24"/>
      <x:c r="K90" s="26"/>
      <x:c r="L90" s="28"/>
      <x:c r="M90" s="18"/>
      <x:c r="N90" s="18"/>
      <x:c r="O90" s="18"/>
      <x:c r="P90" s="18"/>
      <x:c r="Q90" s="18"/>
      <x:c r="R90" s="18"/>
    </x:row>
    <x:row r="91" ht="30" customHeight="1">
      <x:c r="A91" s="22"/>
      <x:c r="B91" s="18"/>
      <x:c r="C91" s="18"/>
      <x:c r="D91" s="18"/>
      <x:c r="E91" s="18"/>
      <x:c r="F91" s="18"/>
      <x:c r="G91" s="18"/>
      <x:c r="H91" s="18"/>
      <x:c r="I91" s="24"/>
      <x:c r="J91" s="24"/>
      <x:c r="K91" s="26"/>
      <x:c r="L91" s="28"/>
      <x:c r="M91" s="18"/>
      <x:c r="N91" s="18"/>
      <x:c r="O91" s="18"/>
      <x:c r="P91" s="18"/>
      <x:c r="Q91" s="18"/>
      <x:c r="R91" s="18"/>
    </x:row>
    <x:row r="92" ht="30" customHeight="1">
      <x:c r="A92" s="22"/>
      <x:c r="B92" s="18"/>
      <x:c r="C92" s="18"/>
      <x:c r="D92" s="18"/>
      <x:c r="E92" s="18"/>
      <x:c r="F92" s="18"/>
      <x:c r="G92" s="18"/>
      <x:c r="H92" s="18"/>
      <x:c r="I92" s="24"/>
      <x:c r="J92" s="24"/>
      <x:c r="K92" s="26"/>
      <x:c r="L92" s="28"/>
      <x:c r="M92" s="18"/>
      <x:c r="N92" s="18"/>
      <x:c r="O92" s="18"/>
      <x:c r="P92" s="18"/>
      <x:c r="Q92" s="18"/>
      <x:c r="R92" s="18"/>
    </x:row>
    <x:row r="93" ht="30" customHeight="1">
      <x:c r="A93" s="22"/>
      <x:c r="B93" s="18"/>
      <x:c r="C93" s="18"/>
      <x:c r="D93" s="18"/>
      <x:c r="E93" s="18"/>
      <x:c r="F93" s="18"/>
      <x:c r="G93" s="18"/>
      <x:c r="H93" s="18"/>
      <x:c r="I93" s="24"/>
      <x:c r="J93" s="24"/>
      <x:c r="K93" s="26"/>
      <x:c r="L93" s="28"/>
      <x:c r="M93" s="18"/>
      <x:c r="N93" s="18"/>
      <x:c r="O93" s="18"/>
      <x:c r="P93" s="18"/>
      <x:c r="Q93" s="18"/>
      <x:c r="R93" s="18"/>
    </x:row>
    <x:row r="94" ht="30" customHeight="1">
      <x:c r="A94" s="22"/>
      <x:c r="B94" s="18"/>
      <x:c r="C94" s="18"/>
      <x:c r="D94" s="18"/>
      <x:c r="E94" s="18"/>
      <x:c r="F94" s="18"/>
      <x:c r="G94" s="18"/>
      <x:c r="H94" s="18"/>
      <x:c r="I94" s="24"/>
      <x:c r="J94" s="24"/>
      <x:c r="K94" s="26"/>
      <x:c r="L94" s="28"/>
      <x:c r="M94" s="18"/>
      <x:c r="N94" s="18"/>
      <x:c r="O94" s="18"/>
      <x:c r="P94" s="18"/>
      <x:c r="Q94" s="18"/>
      <x:c r="R94" s="18"/>
    </x:row>
    <x:row r="95" ht="30" customHeight="1">
      <x:c r="A95" s="22"/>
      <x:c r="B95" s="18"/>
      <x:c r="C95" s="18"/>
      <x:c r="D95" s="18"/>
      <x:c r="E95" s="18"/>
      <x:c r="F95" s="18"/>
      <x:c r="G95" s="18"/>
      <x:c r="H95" s="18"/>
      <x:c r="I95" s="24"/>
      <x:c r="J95" s="24"/>
      <x:c r="K95" s="26"/>
      <x:c r="L95" s="28"/>
      <x:c r="M95" s="18"/>
      <x:c r="N95" s="18"/>
      <x:c r="O95" s="18"/>
      <x:c r="P95" s="18"/>
      <x:c r="Q95" s="18"/>
      <x:c r="R95" s="18"/>
    </x:row>
    <x:row r="96" ht="30" customHeight="1">
      <x:c r="A96" s="22"/>
      <x:c r="B96" s="18"/>
      <x:c r="C96" s="18"/>
      <x:c r="D96" s="18"/>
      <x:c r="E96" s="18"/>
      <x:c r="F96" s="18"/>
      <x:c r="G96" s="18"/>
      <x:c r="H96" s="18"/>
      <x:c r="I96" s="24"/>
      <x:c r="J96" s="24"/>
      <x:c r="K96" s="26"/>
      <x:c r="L96" s="28"/>
      <x:c r="M96" s="18"/>
      <x:c r="N96" s="18"/>
      <x:c r="O96" s="18"/>
      <x:c r="P96" s="18"/>
      <x:c r="Q96" s="18"/>
      <x:c r="R96" s="18"/>
    </x:row>
    <x:row r="97" ht="30" customHeight="1">
      <x:c r="A97" s="22"/>
      <x:c r="B97" s="18"/>
      <x:c r="C97" s="18"/>
      <x:c r="D97" s="18"/>
      <x:c r="E97" s="18"/>
      <x:c r="F97" s="18"/>
      <x:c r="G97" s="18"/>
      <x:c r="H97" s="18"/>
      <x:c r="I97" s="24"/>
      <x:c r="J97" s="24"/>
      <x:c r="K97" s="26"/>
      <x:c r="L97" s="28"/>
      <x:c r="M97" s="18"/>
      <x:c r="N97" s="18"/>
      <x:c r="O97" s="18"/>
      <x:c r="P97" s="18"/>
      <x:c r="Q97" s="18"/>
      <x:c r="R97" s="18"/>
    </x:row>
    <x:row r="98" ht="30" customHeight="1">
      <x:c r="A98" s="22"/>
      <x:c r="B98" s="18"/>
      <x:c r="C98" s="18"/>
      <x:c r="D98" s="18"/>
      <x:c r="E98" s="18"/>
      <x:c r="F98" s="18"/>
      <x:c r="G98" s="18"/>
      <x:c r="H98" s="18"/>
      <x:c r="I98" s="24"/>
      <x:c r="J98" s="24"/>
      <x:c r="K98" s="26"/>
      <x:c r="L98" s="28"/>
      <x:c r="M98" s="18"/>
      <x:c r="N98" s="18"/>
      <x:c r="O98" s="18"/>
      <x:c r="P98" s="18"/>
      <x:c r="Q98" s="18"/>
      <x:c r="R98" s="18"/>
    </x:row>
    <x:row r="99" ht="30" customHeight="1">
      <x:c r="A99" s="22"/>
      <x:c r="B99" s="18"/>
      <x:c r="C99" s="18"/>
      <x:c r="D99" s="18"/>
      <x:c r="E99" s="18"/>
      <x:c r="F99" s="18"/>
      <x:c r="G99" s="18"/>
      <x:c r="H99" s="18"/>
      <x:c r="I99" s="24"/>
      <x:c r="J99" s="24"/>
      <x:c r="K99" s="26"/>
      <x:c r="L99" s="28"/>
      <x:c r="M99" s="18"/>
      <x:c r="N99" s="18"/>
      <x:c r="O99" s="18"/>
      <x:c r="P99" s="18"/>
      <x:c r="Q99" s="18"/>
      <x:c r="R99" s="18"/>
    </x:row>
    <x:row r="100" ht="30" customHeight="1">
      <x:c r="A100" s="22"/>
      <x:c r="B100" s="18"/>
      <x:c r="C100" s="18"/>
      <x:c r="D100" s="18"/>
      <x:c r="E100" s="18"/>
      <x:c r="F100" s="18"/>
      <x:c r="G100" s="18"/>
      <x:c r="H100" s="18"/>
      <x:c r="I100" s="24"/>
      <x:c r="J100" s="24"/>
      <x:c r="K100" s="26"/>
      <x:c r="L100" s="28"/>
      <x:c r="M100" s="18"/>
      <x:c r="N100" s="18"/>
      <x:c r="O100" s="18"/>
      <x:c r="P100" s="18"/>
      <x:c r="Q100" s="18"/>
      <x:c r="R100" s="18"/>
    </x:row>
    <x:row r="101" ht="30" customHeight="1">
      <x:c r="A101" s="22"/>
      <x:c r="B101" s="18"/>
      <x:c r="C101" s="18"/>
      <x:c r="D101" s="18"/>
      <x:c r="E101" s="18"/>
      <x:c r="F101" s="18"/>
      <x:c r="G101" s="18"/>
      <x:c r="H101" s="18"/>
      <x:c r="I101" s="24"/>
      <x:c r="J101" s="24"/>
      <x:c r="K101" s="26"/>
      <x:c r="L101" s="28"/>
      <x:c r="M101" s="18"/>
      <x:c r="N101" s="18"/>
      <x:c r="O101" s="18"/>
      <x:c r="P101" s="18"/>
      <x:c r="Q101" s="18"/>
      <x:c r="R101" s="18"/>
    </x:row>
    <x:row r="102" ht="30" customHeight="1">
      <x:c r="A102" s="22"/>
      <x:c r="B102" s="18"/>
      <x:c r="C102" s="18"/>
      <x:c r="D102" s="18"/>
      <x:c r="E102" s="18"/>
      <x:c r="F102" s="18"/>
      <x:c r="G102" s="18"/>
      <x:c r="H102" s="18"/>
      <x:c r="I102" s="24"/>
      <x:c r="J102" s="24"/>
      <x:c r="K102" s="26"/>
      <x:c r="L102" s="28"/>
      <x:c r="M102" s="18"/>
      <x:c r="N102" s="18"/>
      <x:c r="O102" s="18"/>
      <x:c r="P102" s="18"/>
      <x:c r="Q102" s="18"/>
      <x:c r="R102" s="18"/>
    </x:row>
    <x:row r="103" ht="30" customHeight="1">
      <x:c r="A103" s="22"/>
      <x:c r="B103" s="18"/>
      <x:c r="C103" s="18"/>
      <x:c r="D103" s="18"/>
      <x:c r="E103" s="18"/>
      <x:c r="F103" s="18"/>
      <x:c r="G103" s="18"/>
      <x:c r="H103" s="18"/>
      <x:c r="I103" s="24"/>
      <x:c r="J103" s="24"/>
      <x:c r="K103" s="26"/>
      <x:c r="L103" s="28"/>
      <x:c r="M103" s="18"/>
      <x:c r="N103" s="18"/>
      <x:c r="O103" s="18"/>
      <x:c r="P103" s="18"/>
      <x:c r="Q103" s="18"/>
      <x:c r="R103" s="18"/>
    </x:row>
    <x:row r="104" ht="30" customHeight="1">
      <x:c r="A104" s="22"/>
      <x:c r="B104" s="18"/>
      <x:c r="C104" s="18"/>
      <x:c r="D104" s="18"/>
      <x:c r="E104" s="18"/>
      <x:c r="F104" s="18"/>
      <x:c r="G104" s="18"/>
      <x:c r="H104" s="18"/>
      <x:c r="I104" s="24"/>
      <x:c r="J104" s="24"/>
      <x:c r="K104" s="26"/>
      <x:c r="L104" s="28"/>
      <x:c r="M104" s="18"/>
      <x:c r="N104" s="18"/>
      <x:c r="O104" s="18"/>
      <x:c r="P104" s="18"/>
      <x:c r="Q104" s="18"/>
      <x:c r="R104" s="18"/>
    </x:row>
    <x:row r="105" ht="30" customHeight="1">
      <x:c r="A105" s="22"/>
      <x:c r="B105" s="18"/>
      <x:c r="C105" s="18"/>
      <x:c r="D105" s="18"/>
      <x:c r="E105" s="18"/>
      <x:c r="F105" s="18"/>
      <x:c r="G105" s="18"/>
      <x:c r="H105" s="18"/>
      <x:c r="I105" s="24"/>
      <x:c r="J105" s="24"/>
      <x:c r="K105" s="26"/>
      <x:c r="L105" s="28"/>
      <x:c r="M105" s="18"/>
      <x:c r="N105" s="18"/>
      <x:c r="O105" s="18"/>
      <x:c r="P105" s="18"/>
      <x:c r="Q105" s="18"/>
      <x:c r="R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ff5f8c3946f647e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8" hidden="0" customWidth="1"/>
    <x:col min="4" max="4" width="38" hidden="0" customWidth="1"/>
    <x:col min="5" max="5" width="18" hidden="0" customWidth="1"/>
    <x:col min="6" max="6" width="13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4" customHeight="1">
      <x:c r="A1" s="3" t="str">
        <x:v>GSC QUERY DAILY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Query-level visibility only. Privacy-omitted queries mean this table is not a total-traffic ledger.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date</x:v>
      </x:c>
      <x:c r="B5" s="12" t="str">
        <x:v>query</x:v>
      </x:c>
      <x:c r="C5" s="12" t="str">
        <x:v>url_id</x:v>
      </x:c>
      <x:c r="D5" s="12" t="str">
        <x:v>normalized_url</x:v>
      </x:c>
      <x:c r="E5" s="12" t="str">
        <x:v>target_country</x:v>
      </x:c>
      <x:c r="F5" s="12" t="str">
        <x:v>language</x:v>
      </x:c>
      <x:c r="G5" s="12" t="str">
        <x:v>searcher_country</x:v>
      </x:c>
      <x:c r="H5" s="12" t="str">
        <x:v>device</x:v>
      </x:c>
      <x:c r="I5" s="12" t="str">
        <x:v>search_type</x:v>
      </x:c>
      <x:c r="J5" s="12" t="str">
        <x:v>clicks</x:v>
      </x:c>
      <x:c r="K5" s="12" t="str">
        <x:v>impressions</x:v>
      </x:c>
      <x:c r="L5" s="12" t="str">
        <x:v>avg_position</x:v>
      </x:c>
      <x:c r="M5" s="12" t="str">
        <x:v>ctr</x:v>
      </x:c>
      <x:c r="N5" s="12" t="str">
        <x:v>brand_class</x:v>
      </x:c>
      <x:c r="O5" s="12" t="str">
        <x:v>taxonomy_version</x:v>
      </x:c>
      <x:c r="P5" s="12" t="str">
        <x:v>row_key</x:v>
      </x:c>
      <x:c r="Q5" s="12" t="str">
        <x:v>refresh_id</x:v>
      </x:c>
      <x:c r="R5" s="12" t="str">
        <x:v>data_quality</x:v>
      </x:c>
      <x:c r="S5" s="12" t="str">
        <x:v>source</x:v>
      </x:c>
    </x:row>
    <x:row r="6" ht="30" customHeight="1">
      <x:c r="A6" s="22"/>
      <x:c r="B6" s="18"/>
      <x:c r="C6" s="18"/>
      <x:c r="D6" s="18"/>
      <x:c r="E6" s="18"/>
      <x:c r="F6" s="18"/>
      <x:c r="G6" s="18"/>
      <x:c r="H6" s="18"/>
      <x:c r="I6" s="18"/>
      <x:c r="J6" s="24"/>
      <x:c r="K6" s="24"/>
      <x:c r="L6" s="26"/>
      <x:c r="M6" s="28" t="str">
        <x:f>IF(OR(A6="",K6=""),"",IFERROR(J6/K6,""))</x:f>
      </x:c>
      <x:c r="N6" s="18"/>
      <x:c r="O6" s="18"/>
      <x:c r="P6" s="18" t="str">
        <x:f>IF(A6="","",TEXT(A6,"yyyy-mm-dd")&amp;"|"&amp;B6&amp;"|"&amp;D6&amp;"|"&amp;G6&amp;"|"&amp;H6&amp;"|"&amp;I6)</x:f>
      </x:c>
      <x:c r="Q6" s="18"/>
      <x:c r="R6" s="18"/>
      <x:c r="S6" s="18"/>
    </x:row>
    <x:row r="7" ht="30" customHeight="1">
      <x:c r="A7" s="22"/>
      <x:c r="B7" s="18"/>
      <x:c r="C7" s="18"/>
      <x:c r="D7" s="18"/>
      <x:c r="E7" s="18"/>
      <x:c r="F7" s="18"/>
      <x:c r="G7" s="18"/>
      <x:c r="H7" s="18"/>
      <x:c r="I7" s="18"/>
      <x:c r="J7" s="24"/>
      <x:c r="K7" s="24"/>
      <x:c r="L7" s="26"/>
      <x:c r="M7" s="28"/>
      <x:c r="N7" s="18"/>
      <x:c r="O7" s="18"/>
      <x:c r="P7" s="18"/>
      <x:c r="Q7" s="18"/>
      <x:c r="R7" s="18"/>
      <x:c r="S7" s="18"/>
    </x:row>
    <x:row r="8" ht="30" customHeight="1">
      <x:c r="A8" s="22"/>
      <x:c r="B8" s="18"/>
      <x:c r="C8" s="18"/>
      <x:c r="D8" s="18"/>
      <x:c r="E8" s="18"/>
      <x:c r="F8" s="18"/>
      <x:c r="G8" s="18"/>
      <x:c r="H8" s="18"/>
      <x:c r="I8" s="18"/>
      <x:c r="J8" s="24"/>
      <x:c r="K8" s="24"/>
      <x:c r="L8" s="26"/>
      <x:c r="M8" s="28"/>
      <x:c r="N8" s="18"/>
      <x:c r="O8" s="18"/>
      <x:c r="P8" s="18"/>
      <x:c r="Q8" s="18"/>
      <x:c r="R8" s="18"/>
      <x:c r="S8" s="18"/>
    </x:row>
    <x:row r="9" ht="30" customHeight="1">
      <x:c r="A9" s="22"/>
      <x:c r="B9" s="18"/>
      <x:c r="C9" s="18"/>
      <x:c r="D9" s="18"/>
      <x:c r="E9" s="18"/>
      <x:c r="F9" s="18"/>
      <x:c r="G9" s="18"/>
      <x:c r="H9" s="18"/>
      <x:c r="I9" s="18"/>
      <x:c r="J9" s="24"/>
      <x:c r="K9" s="24"/>
      <x:c r="L9" s="26"/>
      <x:c r="M9" s="28"/>
      <x:c r="N9" s="18"/>
      <x:c r="O9" s="18"/>
      <x:c r="P9" s="18"/>
      <x:c r="Q9" s="18"/>
      <x:c r="R9" s="18"/>
      <x:c r="S9" s="18"/>
    </x:row>
    <x:row r="10" ht="30" customHeight="1">
      <x:c r="A10" s="22"/>
      <x:c r="B10" s="18"/>
      <x:c r="C10" s="18"/>
      <x:c r="D10" s="18"/>
      <x:c r="E10" s="18"/>
      <x:c r="F10" s="18"/>
      <x:c r="G10" s="18"/>
      <x:c r="H10" s="18"/>
      <x:c r="I10" s="18"/>
      <x:c r="J10" s="24"/>
      <x:c r="K10" s="24"/>
      <x:c r="L10" s="26"/>
      <x:c r="M10" s="28"/>
      <x:c r="N10" s="18"/>
      <x:c r="O10" s="18"/>
      <x:c r="P10" s="18"/>
      <x:c r="Q10" s="18"/>
      <x:c r="R10" s="18"/>
      <x:c r="S10" s="18"/>
    </x:row>
    <x:row r="11" ht="30" customHeight="1">
      <x:c r="A11" s="22"/>
      <x:c r="B11" s="18"/>
      <x:c r="C11" s="18"/>
      <x:c r="D11" s="18"/>
      <x:c r="E11" s="18"/>
      <x:c r="F11" s="18"/>
      <x:c r="G11" s="18"/>
      <x:c r="H11" s="18"/>
      <x:c r="I11" s="18"/>
      <x:c r="J11" s="24"/>
      <x:c r="K11" s="24"/>
      <x:c r="L11" s="26"/>
      <x:c r="M11" s="28"/>
      <x:c r="N11" s="18"/>
      <x:c r="O11" s="18"/>
      <x:c r="P11" s="18"/>
      <x:c r="Q11" s="18"/>
      <x:c r="R11" s="18"/>
      <x:c r="S11" s="18"/>
    </x:row>
    <x:row r="12" ht="30" customHeight="1">
      <x:c r="A12" s="22"/>
      <x:c r="B12" s="18"/>
      <x:c r="C12" s="18"/>
      <x:c r="D12" s="18"/>
      <x:c r="E12" s="18"/>
      <x:c r="F12" s="18"/>
      <x:c r="G12" s="18"/>
      <x:c r="H12" s="18"/>
      <x:c r="I12" s="18"/>
      <x:c r="J12" s="24"/>
      <x:c r="K12" s="24"/>
      <x:c r="L12" s="26"/>
      <x:c r="M12" s="28"/>
      <x:c r="N12" s="18"/>
      <x:c r="O12" s="18"/>
      <x:c r="P12" s="18"/>
      <x:c r="Q12" s="18"/>
      <x:c r="R12" s="18"/>
      <x:c r="S12" s="18"/>
    </x:row>
    <x:row r="13" ht="30" customHeight="1">
      <x:c r="A13" s="22"/>
      <x:c r="B13" s="18"/>
      <x:c r="C13" s="18"/>
      <x:c r="D13" s="18"/>
      <x:c r="E13" s="18"/>
      <x:c r="F13" s="18"/>
      <x:c r="G13" s="18"/>
      <x:c r="H13" s="18"/>
      <x:c r="I13" s="18"/>
      <x:c r="J13" s="24"/>
      <x:c r="K13" s="24"/>
      <x:c r="L13" s="26"/>
      <x:c r="M13" s="28"/>
      <x:c r="N13" s="18"/>
      <x:c r="O13" s="18"/>
      <x:c r="P13" s="18"/>
      <x:c r="Q13" s="18"/>
      <x:c r="R13" s="18"/>
      <x:c r="S13" s="18"/>
    </x:row>
    <x:row r="14" ht="30" customHeight="1">
      <x:c r="A14" s="22"/>
      <x:c r="B14" s="18"/>
      <x:c r="C14" s="18"/>
      <x:c r="D14" s="18"/>
      <x:c r="E14" s="18"/>
      <x:c r="F14" s="18"/>
      <x:c r="G14" s="18"/>
      <x:c r="H14" s="18"/>
      <x:c r="I14" s="18"/>
      <x:c r="J14" s="24"/>
      <x:c r="K14" s="24"/>
      <x:c r="L14" s="26"/>
      <x:c r="M14" s="28"/>
      <x:c r="N14" s="18"/>
      <x:c r="O14" s="18"/>
      <x:c r="P14" s="18"/>
      <x:c r="Q14" s="18"/>
      <x:c r="R14" s="18"/>
      <x:c r="S14" s="18"/>
    </x:row>
    <x:row r="15" ht="30" customHeight="1">
      <x:c r="A15" s="22"/>
      <x:c r="B15" s="18"/>
      <x:c r="C15" s="18"/>
      <x:c r="D15" s="18"/>
      <x:c r="E15" s="18"/>
      <x:c r="F15" s="18"/>
      <x:c r="G15" s="18"/>
      <x:c r="H15" s="18"/>
      <x:c r="I15" s="18"/>
      <x:c r="J15" s="24"/>
      <x:c r="K15" s="24"/>
      <x:c r="L15" s="26"/>
      <x:c r="M15" s="28"/>
      <x:c r="N15" s="18"/>
      <x:c r="O15" s="18"/>
      <x:c r="P15" s="18"/>
      <x:c r="Q15" s="18"/>
      <x:c r="R15" s="18"/>
      <x:c r="S15" s="18"/>
    </x:row>
    <x:row r="16" ht="30" customHeight="1">
      <x:c r="A16" s="22"/>
      <x:c r="B16" s="18"/>
      <x:c r="C16" s="18"/>
      <x:c r="D16" s="18"/>
      <x:c r="E16" s="18"/>
      <x:c r="F16" s="18"/>
      <x:c r="G16" s="18"/>
      <x:c r="H16" s="18"/>
      <x:c r="I16" s="18"/>
      <x:c r="J16" s="24"/>
      <x:c r="K16" s="24"/>
      <x:c r="L16" s="26"/>
      <x:c r="M16" s="28"/>
      <x:c r="N16" s="18"/>
      <x:c r="O16" s="18"/>
      <x:c r="P16" s="18"/>
      <x:c r="Q16" s="18"/>
      <x:c r="R16" s="18"/>
      <x:c r="S16" s="18"/>
    </x:row>
    <x:row r="17" ht="30" customHeight="1">
      <x:c r="A17" s="22"/>
      <x:c r="B17" s="18"/>
      <x:c r="C17" s="18"/>
      <x:c r="D17" s="18"/>
      <x:c r="E17" s="18"/>
      <x:c r="F17" s="18"/>
      <x:c r="G17" s="18"/>
      <x:c r="H17" s="18"/>
      <x:c r="I17" s="18"/>
      <x:c r="J17" s="24"/>
      <x:c r="K17" s="24"/>
      <x:c r="L17" s="26"/>
      <x:c r="M17" s="28"/>
      <x:c r="N17" s="18"/>
      <x:c r="O17" s="18"/>
      <x:c r="P17" s="18"/>
      <x:c r="Q17" s="18"/>
      <x:c r="R17" s="18"/>
      <x:c r="S17" s="18"/>
    </x:row>
    <x:row r="18" ht="30" customHeight="1">
      <x:c r="A18" s="22"/>
      <x:c r="B18" s="18"/>
      <x:c r="C18" s="18"/>
      <x:c r="D18" s="18"/>
      <x:c r="E18" s="18"/>
      <x:c r="F18" s="18"/>
      <x:c r="G18" s="18"/>
      <x:c r="H18" s="18"/>
      <x:c r="I18" s="18"/>
      <x:c r="J18" s="24"/>
      <x:c r="K18" s="24"/>
      <x:c r="L18" s="26"/>
      <x:c r="M18" s="28"/>
      <x:c r="N18" s="18"/>
      <x:c r="O18" s="18"/>
      <x:c r="P18" s="18"/>
      <x:c r="Q18" s="18"/>
      <x:c r="R18" s="18"/>
      <x:c r="S18" s="18"/>
    </x:row>
    <x:row r="19" ht="30" customHeight="1">
      <x:c r="A19" s="22"/>
      <x:c r="B19" s="18"/>
      <x:c r="C19" s="18"/>
      <x:c r="D19" s="18"/>
      <x:c r="E19" s="18"/>
      <x:c r="F19" s="18"/>
      <x:c r="G19" s="18"/>
      <x:c r="H19" s="18"/>
      <x:c r="I19" s="18"/>
      <x:c r="J19" s="24"/>
      <x:c r="K19" s="24"/>
      <x:c r="L19" s="26"/>
      <x:c r="M19" s="28"/>
      <x:c r="N19" s="18"/>
      <x:c r="O19" s="18"/>
      <x:c r="P19" s="18"/>
      <x:c r="Q19" s="18"/>
      <x:c r="R19" s="18"/>
      <x:c r="S19" s="18"/>
    </x:row>
    <x:row r="20" ht="30" customHeight="1">
      <x:c r="A20" s="22"/>
      <x:c r="B20" s="18"/>
      <x:c r="C20" s="18"/>
      <x:c r="D20" s="18"/>
      <x:c r="E20" s="18"/>
      <x:c r="F20" s="18"/>
      <x:c r="G20" s="18"/>
      <x:c r="H20" s="18"/>
      <x:c r="I20" s="18"/>
      <x:c r="J20" s="24"/>
      <x:c r="K20" s="24"/>
      <x:c r="L20" s="26"/>
      <x:c r="M20" s="28"/>
      <x:c r="N20" s="18"/>
      <x:c r="O20" s="18"/>
      <x:c r="P20" s="18"/>
      <x:c r="Q20" s="18"/>
      <x:c r="R20" s="18"/>
      <x:c r="S20" s="18"/>
    </x:row>
    <x:row r="21" ht="30" customHeight="1">
      <x:c r="A21" s="22"/>
      <x:c r="B21" s="18"/>
      <x:c r="C21" s="18"/>
      <x:c r="D21" s="18"/>
      <x:c r="E21" s="18"/>
      <x:c r="F21" s="18"/>
      <x:c r="G21" s="18"/>
      <x:c r="H21" s="18"/>
      <x:c r="I21" s="18"/>
      <x:c r="J21" s="24"/>
      <x:c r="K21" s="24"/>
      <x:c r="L21" s="26"/>
      <x:c r="M21" s="28"/>
      <x:c r="N21" s="18"/>
      <x:c r="O21" s="18"/>
      <x:c r="P21" s="18"/>
      <x:c r="Q21" s="18"/>
      <x:c r="R21" s="18"/>
      <x:c r="S21" s="18"/>
    </x:row>
    <x:row r="22" ht="30" customHeight="1">
      <x:c r="A22" s="22"/>
      <x:c r="B22" s="18"/>
      <x:c r="C22" s="18"/>
      <x:c r="D22" s="18"/>
      <x:c r="E22" s="18"/>
      <x:c r="F22" s="18"/>
      <x:c r="G22" s="18"/>
      <x:c r="H22" s="18"/>
      <x:c r="I22" s="18"/>
      <x:c r="J22" s="24"/>
      <x:c r="K22" s="24"/>
      <x:c r="L22" s="26"/>
      <x:c r="M22" s="28"/>
      <x:c r="N22" s="18"/>
      <x:c r="O22" s="18"/>
      <x:c r="P22" s="18"/>
      <x:c r="Q22" s="18"/>
      <x:c r="R22" s="18"/>
      <x:c r="S22" s="18"/>
    </x:row>
    <x:row r="23" ht="30" customHeight="1">
      <x:c r="A23" s="22"/>
      <x:c r="B23" s="18"/>
      <x:c r="C23" s="18"/>
      <x:c r="D23" s="18"/>
      <x:c r="E23" s="18"/>
      <x:c r="F23" s="18"/>
      <x:c r="G23" s="18"/>
      <x:c r="H23" s="18"/>
      <x:c r="I23" s="18"/>
      <x:c r="J23" s="24"/>
      <x:c r="K23" s="24"/>
      <x:c r="L23" s="26"/>
      <x:c r="M23" s="28"/>
      <x:c r="N23" s="18"/>
      <x:c r="O23" s="18"/>
      <x:c r="P23" s="18"/>
      <x:c r="Q23" s="18"/>
      <x:c r="R23" s="18"/>
      <x:c r="S23" s="18"/>
    </x:row>
    <x:row r="24" ht="30" customHeight="1">
      <x:c r="A24" s="22"/>
      <x:c r="B24" s="18"/>
      <x:c r="C24" s="18"/>
      <x:c r="D24" s="18"/>
      <x:c r="E24" s="18"/>
      <x:c r="F24" s="18"/>
      <x:c r="G24" s="18"/>
      <x:c r="H24" s="18"/>
      <x:c r="I24" s="18"/>
      <x:c r="J24" s="24"/>
      <x:c r="K24" s="24"/>
      <x:c r="L24" s="26"/>
      <x:c r="M24" s="28"/>
      <x:c r="N24" s="18"/>
      <x:c r="O24" s="18"/>
      <x:c r="P24" s="18"/>
      <x:c r="Q24" s="18"/>
      <x:c r="R24" s="18"/>
      <x:c r="S24" s="18"/>
    </x:row>
    <x:row r="25" ht="30" customHeight="1">
      <x:c r="A25" s="22"/>
      <x:c r="B25" s="18"/>
      <x:c r="C25" s="18"/>
      <x:c r="D25" s="18"/>
      <x:c r="E25" s="18"/>
      <x:c r="F25" s="18"/>
      <x:c r="G25" s="18"/>
      <x:c r="H25" s="18"/>
      <x:c r="I25" s="18"/>
      <x:c r="J25" s="24"/>
      <x:c r="K25" s="24"/>
      <x:c r="L25" s="26"/>
      <x:c r="M25" s="28"/>
      <x:c r="N25" s="18"/>
      <x:c r="O25" s="18"/>
      <x:c r="P25" s="18"/>
      <x:c r="Q25" s="18"/>
      <x:c r="R25" s="18"/>
      <x:c r="S25" s="18"/>
    </x:row>
    <x:row r="26" ht="30" customHeight="1">
      <x:c r="A26" s="22"/>
      <x:c r="B26" s="18"/>
      <x:c r="C26" s="18"/>
      <x:c r="D26" s="18"/>
      <x:c r="E26" s="18"/>
      <x:c r="F26" s="18"/>
      <x:c r="G26" s="18"/>
      <x:c r="H26" s="18"/>
      <x:c r="I26" s="18"/>
      <x:c r="J26" s="24"/>
      <x:c r="K26" s="24"/>
      <x:c r="L26" s="26"/>
      <x:c r="M26" s="28"/>
      <x:c r="N26" s="18"/>
      <x:c r="O26" s="18"/>
      <x:c r="P26" s="18"/>
      <x:c r="Q26" s="18"/>
      <x:c r="R26" s="18"/>
      <x:c r="S26" s="18"/>
    </x:row>
    <x:row r="27" ht="30" customHeight="1">
      <x:c r="A27" s="22"/>
      <x:c r="B27" s="18"/>
      <x:c r="C27" s="18"/>
      <x:c r="D27" s="18"/>
      <x:c r="E27" s="18"/>
      <x:c r="F27" s="18"/>
      <x:c r="G27" s="18"/>
      <x:c r="H27" s="18"/>
      <x:c r="I27" s="18"/>
      <x:c r="J27" s="24"/>
      <x:c r="K27" s="24"/>
      <x:c r="L27" s="26"/>
      <x:c r="M27" s="28"/>
      <x:c r="N27" s="18"/>
      <x:c r="O27" s="18"/>
      <x:c r="P27" s="18"/>
      <x:c r="Q27" s="18"/>
      <x:c r="R27" s="18"/>
      <x:c r="S27" s="18"/>
    </x:row>
    <x:row r="28" ht="30" customHeight="1">
      <x:c r="A28" s="22"/>
      <x:c r="B28" s="18"/>
      <x:c r="C28" s="18"/>
      <x:c r="D28" s="18"/>
      <x:c r="E28" s="18"/>
      <x:c r="F28" s="18"/>
      <x:c r="G28" s="18"/>
      <x:c r="H28" s="18"/>
      <x:c r="I28" s="18"/>
      <x:c r="J28" s="24"/>
      <x:c r="K28" s="24"/>
      <x:c r="L28" s="26"/>
      <x:c r="M28" s="28"/>
      <x:c r="N28" s="18"/>
      <x:c r="O28" s="18"/>
      <x:c r="P28" s="18"/>
      <x:c r="Q28" s="18"/>
      <x:c r="R28" s="18"/>
      <x:c r="S28" s="18"/>
    </x:row>
    <x:row r="29" ht="30" customHeight="1">
      <x:c r="A29" s="22"/>
      <x:c r="B29" s="18"/>
      <x:c r="C29" s="18"/>
      <x:c r="D29" s="18"/>
      <x:c r="E29" s="18"/>
      <x:c r="F29" s="18"/>
      <x:c r="G29" s="18"/>
      <x:c r="H29" s="18"/>
      <x:c r="I29" s="18"/>
      <x:c r="J29" s="24"/>
      <x:c r="K29" s="24"/>
      <x:c r="L29" s="26"/>
      <x:c r="M29" s="28"/>
      <x:c r="N29" s="18"/>
      <x:c r="O29" s="18"/>
      <x:c r="P29" s="18"/>
      <x:c r="Q29" s="18"/>
      <x:c r="R29" s="18"/>
      <x:c r="S29" s="18"/>
    </x:row>
    <x:row r="30" ht="30" customHeight="1">
      <x:c r="A30" s="22"/>
      <x:c r="B30" s="18"/>
      <x:c r="C30" s="18"/>
      <x:c r="D30" s="18"/>
      <x:c r="E30" s="18"/>
      <x:c r="F30" s="18"/>
      <x:c r="G30" s="18"/>
      <x:c r="H30" s="18"/>
      <x:c r="I30" s="18"/>
      <x:c r="J30" s="24"/>
      <x:c r="K30" s="24"/>
      <x:c r="L30" s="26"/>
      <x:c r="M30" s="28"/>
      <x:c r="N30" s="18"/>
      <x:c r="O30" s="18"/>
      <x:c r="P30" s="18"/>
      <x:c r="Q30" s="18"/>
      <x:c r="R30" s="18"/>
      <x:c r="S30" s="18"/>
    </x:row>
    <x:row r="31" ht="30" customHeight="1">
      <x:c r="A31" s="22"/>
      <x:c r="B31" s="18"/>
      <x:c r="C31" s="18"/>
      <x:c r="D31" s="18"/>
      <x:c r="E31" s="18"/>
      <x:c r="F31" s="18"/>
      <x:c r="G31" s="18"/>
      <x:c r="H31" s="18"/>
      <x:c r="I31" s="18"/>
      <x:c r="J31" s="24"/>
      <x:c r="K31" s="24"/>
      <x:c r="L31" s="26"/>
      <x:c r="M31" s="28"/>
      <x:c r="N31" s="18"/>
      <x:c r="O31" s="18"/>
      <x:c r="P31" s="18"/>
      <x:c r="Q31" s="18"/>
      <x:c r="R31" s="18"/>
      <x:c r="S31" s="18"/>
    </x:row>
    <x:row r="32" ht="30" customHeight="1">
      <x:c r="A32" s="22"/>
      <x:c r="B32" s="18"/>
      <x:c r="C32" s="18"/>
      <x:c r="D32" s="18"/>
      <x:c r="E32" s="18"/>
      <x:c r="F32" s="18"/>
      <x:c r="G32" s="18"/>
      <x:c r="H32" s="18"/>
      <x:c r="I32" s="18"/>
      <x:c r="J32" s="24"/>
      <x:c r="K32" s="24"/>
      <x:c r="L32" s="26"/>
      <x:c r="M32" s="28"/>
      <x:c r="N32" s="18"/>
      <x:c r="O32" s="18"/>
      <x:c r="P32" s="18"/>
      <x:c r="Q32" s="18"/>
      <x:c r="R32" s="18"/>
      <x:c r="S32" s="18"/>
    </x:row>
    <x:row r="33" ht="30" customHeight="1">
      <x:c r="A33" s="22"/>
      <x:c r="B33" s="18"/>
      <x:c r="C33" s="18"/>
      <x:c r="D33" s="18"/>
      <x:c r="E33" s="18"/>
      <x:c r="F33" s="18"/>
      <x:c r="G33" s="18"/>
      <x:c r="H33" s="18"/>
      <x:c r="I33" s="18"/>
      <x:c r="J33" s="24"/>
      <x:c r="K33" s="24"/>
      <x:c r="L33" s="26"/>
      <x:c r="M33" s="28"/>
      <x:c r="N33" s="18"/>
      <x:c r="O33" s="18"/>
      <x:c r="P33" s="18"/>
      <x:c r="Q33" s="18"/>
      <x:c r="R33" s="18"/>
      <x:c r="S33" s="18"/>
    </x:row>
    <x:row r="34" ht="30" customHeight="1">
      <x:c r="A34" s="22"/>
      <x:c r="B34" s="18"/>
      <x:c r="C34" s="18"/>
      <x:c r="D34" s="18"/>
      <x:c r="E34" s="18"/>
      <x:c r="F34" s="18"/>
      <x:c r="G34" s="18"/>
      <x:c r="H34" s="18"/>
      <x:c r="I34" s="18"/>
      <x:c r="J34" s="24"/>
      <x:c r="K34" s="24"/>
      <x:c r="L34" s="26"/>
      <x:c r="M34" s="28"/>
      <x:c r="N34" s="18"/>
      <x:c r="O34" s="18"/>
      <x:c r="P34" s="18"/>
      <x:c r="Q34" s="18"/>
      <x:c r="R34" s="18"/>
      <x:c r="S34" s="18"/>
    </x:row>
    <x:row r="35" ht="30" customHeight="1">
      <x:c r="A35" s="22"/>
      <x:c r="B35" s="18"/>
      <x:c r="C35" s="18"/>
      <x:c r="D35" s="18"/>
      <x:c r="E35" s="18"/>
      <x:c r="F35" s="18"/>
      <x:c r="G35" s="18"/>
      <x:c r="H35" s="18"/>
      <x:c r="I35" s="18"/>
      <x:c r="J35" s="24"/>
      <x:c r="K35" s="24"/>
      <x:c r="L35" s="26"/>
      <x:c r="M35" s="28"/>
      <x:c r="N35" s="18"/>
      <x:c r="O35" s="18"/>
      <x:c r="P35" s="18"/>
      <x:c r="Q35" s="18"/>
      <x:c r="R35" s="18"/>
      <x:c r="S35" s="18"/>
    </x:row>
    <x:row r="36" ht="30" customHeight="1">
      <x:c r="A36" s="22"/>
      <x:c r="B36" s="18"/>
      <x:c r="C36" s="18"/>
      <x:c r="D36" s="18"/>
      <x:c r="E36" s="18"/>
      <x:c r="F36" s="18"/>
      <x:c r="G36" s="18"/>
      <x:c r="H36" s="18"/>
      <x:c r="I36" s="18"/>
      <x:c r="J36" s="24"/>
      <x:c r="K36" s="24"/>
      <x:c r="L36" s="26"/>
      <x:c r="M36" s="28"/>
      <x:c r="N36" s="18"/>
      <x:c r="O36" s="18"/>
      <x:c r="P36" s="18"/>
      <x:c r="Q36" s="18"/>
      <x:c r="R36" s="18"/>
      <x:c r="S36" s="18"/>
    </x:row>
    <x:row r="37" ht="30" customHeight="1">
      <x:c r="A37" s="22"/>
      <x:c r="B37" s="18"/>
      <x:c r="C37" s="18"/>
      <x:c r="D37" s="18"/>
      <x:c r="E37" s="18"/>
      <x:c r="F37" s="18"/>
      <x:c r="G37" s="18"/>
      <x:c r="H37" s="18"/>
      <x:c r="I37" s="18"/>
      <x:c r="J37" s="24"/>
      <x:c r="K37" s="24"/>
      <x:c r="L37" s="26"/>
      <x:c r="M37" s="28"/>
      <x:c r="N37" s="18"/>
      <x:c r="O37" s="18"/>
      <x:c r="P37" s="18"/>
      <x:c r="Q37" s="18"/>
      <x:c r="R37" s="18"/>
      <x:c r="S37" s="18"/>
    </x:row>
    <x:row r="38" ht="30" customHeight="1">
      <x:c r="A38" s="22"/>
      <x:c r="B38" s="18"/>
      <x:c r="C38" s="18"/>
      <x:c r="D38" s="18"/>
      <x:c r="E38" s="18"/>
      <x:c r="F38" s="18"/>
      <x:c r="G38" s="18"/>
      <x:c r="H38" s="18"/>
      <x:c r="I38" s="18"/>
      <x:c r="J38" s="24"/>
      <x:c r="K38" s="24"/>
      <x:c r="L38" s="26"/>
      <x:c r="M38" s="28"/>
      <x:c r="N38" s="18"/>
      <x:c r="O38" s="18"/>
      <x:c r="P38" s="18"/>
      <x:c r="Q38" s="18"/>
      <x:c r="R38" s="18"/>
      <x:c r="S38" s="18"/>
    </x:row>
    <x:row r="39" ht="30" customHeight="1">
      <x:c r="A39" s="22"/>
      <x:c r="B39" s="18"/>
      <x:c r="C39" s="18"/>
      <x:c r="D39" s="18"/>
      <x:c r="E39" s="18"/>
      <x:c r="F39" s="18"/>
      <x:c r="G39" s="18"/>
      <x:c r="H39" s="18"/>
      <x:c r="I39" s="18"/>
      <x:c r="J39" s="24"/>
      <x:c r="K39" s="24"/>
      <x:c r="L39" s="26"/>
      <x:c r="M39" s="28"/>
      <x:c r="N39" s="18"/>
      <x:c r="O39" s="18"/>
      <x:c r="P39" s="18"/>
      <x:c r="Q39" s="18"/>
      <x:c r="R39" s="18"/>
      <x:c r="S39" s="18"/>
    </x:row>
    <x:row r="40" ht="30" customHeight="1">
      <x:c r="A40" s="22"/>
      <x:c r="B40" s="18"/>
      <x:c r="C40" s="18"/>
      <x:c r="D40" s="18"/>
      <x:c r="E40" s="18"/>
      <x:c r="F40" s="18"/>
      <x:c r="G40" s="18"/>
      <x:c r="H40" s="18"/>
      <x:c r="I40" s="18"/>
      <x:c r="J40" s="24"/>
      <x:c r="K40" s="24"/>
      <x:c r="L40" s="26"/>
      <x:c r="M40" s="28"/>
      <x:c r="N40" s="18"/>
      <x:c r="O40" s="18"/>
      <x:c r="P40" s="18"/>
      <x:c r="Q40" s="18"/>
      <x:c r="R40" s="18"/>
      <x:c r="S40" s="18"/>
    </x:row>
    <x:row r="41" ht="30" customHeight="1">
      <x:c r="A41" s="22"/>
      <x:c r="B41" s="18"/>
      <x:c r="C41" s="18"/>
      <x:c r="D41" s="18"/>
      <x:c r="E41" s="18"/>
      <x:c r="F41" s="18"/>
      <x:c r="G41" s="18"/>
      <x:c r="H41" s="18"/>
      <x:c r="I41" s="18"/>
      <x:c r="J41" s="24"/>
      <x:c r="K41" s="24"/>
      <x:c r="L41" s="26"/>
      <x:c r="M41" s="28"/>
      <x:c r="N41" s="18"/>
      <x:c r="O41" s="18"/>
      <x:c r="P41" s="18"/>
      <x:c r="Q41" s="18"/>
      <x:c r="R41" s="18"/>
      <x:c r="S41" s="18"/>
    </x:row>
    <x:row r="42" ht="30" customHeight="1">
      <x:c r="A42" s="22"/>
      <x:c r="B42" s="18"/>
      <x:c r="C42" s="18"/>
      <x:c r="D42" s="18"/>
      <x:c r="E42" s="18"/>
      <x:c r="F42" s="18"/>
      <x:c r="G42" s="18"/>
      <x:c r="H42" s="18"/>
      <x:c r="I42" s="18"/>
      <x:c r="J42" s="24"/>
      <x:c r="K42" s="24"/>
      <x:c r="L42" s="26"/>
      <x:c r="M42" s="28"/>
      <x:c r="N42" s="18"/>
      <x:c r="O42" s="18"/>
      <x:c r="P42" s="18"/>
      <x:c r="Q42" s="18"/>
      <x:c r="R42" s="18"/>
      <x:c r="S42" s="18"/>
    </x:row>
    <x:row r="43" ht="30" customHeight="1">
      <x:c r="A43" s="22"/>
      <x:c r="B43" s="18"/>
      <x:c r="C43" s="18"/>
      <x:c r="D43" s="18"/>
      <x:c r="E43" s="18"/>
      <x:c r="F43" s="18"/>
      <x:c r="G43" s="18"/>
      <x:c r="H43" s="18"/>
      <x:c r="I43" s="18"/>
      <x:c r="J43" s="24"/>
      <x:c r="K43" s="24"/>
      <x:c r="L43" s="26"/>
      <x:c r="M43" s="28"/>
      <x:c r="N43" s="18"/>
      <x:c r="O43" s="18"/>
      <x:c r="P43" s="18"/>
      <x:c r="Q43" s="18"/>
      <x:c r="R43" s="18"/>
      <x:c r="S43" s="18"/>
    </x:row>
    <x:row r="44" ht="30" customHeight="1">
      <x:c r="A44" s="22"/>
      <x:c r="B44" s="18"/>
      <x:c r="C44" s="18"/>
      <x:c r="D44" s="18"/>
      <x:c r="E44" s="18"/>
      <x:c r="F44" s="18"/>
      <x:c r="G44" s="18"/>
      <x:c r="H44" s="18"/>
      <x:c r="I44" s="18"/>
      <x:c r="J44" s="24"/>
      <x:c r="K44" s="24"/>
      <x:c r="L44" s="26"/>
      <x:c r="M44" s="28"/>
      <x:c r="N44" s="18"/>
      <x:c r="O44" s="18"/>
      <x:c r="P44" s="18"/>
      <x:c r="Q44" s="18"/>
      <x:c r="R44" s="18"/>
      <x:c r="S44" s="18"/>
    </x:row>
    <x:row r="45" ht="30" customHeight="1">
      <x:c r="A45" s="22"/>
      <x:c r="B45" s="18"/>
      <x:c r="C45" s="18"/>
      <x:c r="D45" s="18"/>
      <x:c r="E45" s="18"/>
      <x:c r="F45" s="18"/>
      <x:c r="G45" s="18"/>
      <x:c r="H45" s="18"/>
      <x:c r="I45" s="18"/>
      <x:c r="J45" s="24"/>
      <x:c r="K45" s="24"/>
      <x:c r="L45" s="26"/>
      <x:c r="M45" s="28"/>
      <x:c r="N45" s="18"/>
      <x:c r="O45" s="18"/>
      <x:c r="P45" s="18"/>
      <x:c r="Q45" s="18"/>
      <x:c r="R45" s="18"/>
      <x:c r="S45" s="18"/>
    </x:row>
    <x:row r="46" ht="30" customHeight="1">
      <x:c r="A46" s="22"/>
      <x:c r="B46" s="18"/>
      <x:c r="C46" s="18"/>
      <x:c r="D46" s="18"/>
      <x:c r="E46" s="18"/>
      <x:c r="F46" s="18"/>
      <x:c r="G46" s="18"/>
      <x:c r="H46" s="18"/>
      <x:c r="I46" s="18"/>
      <x:c r="J46" s="24"/>
      <x:c r="K46" s="24"/>
      <x:c r="L46" s="26"/>
      <x:c r="M46" s="28"/>
      <x:c r="N46" s="18"/>
      <x:c r="O46" s="18"/>
      <x:c r="P46" s="18"/>
      <x:c r="Q46" s="18"/>
      <x:c r="R46" s="18"/>
      <x:c r="S46" s="18"/>
    </x:row>
    <x:row r="47" ht="30" customHeight="1">
      <x:c r="A47" s="22"/>
      <x:c r="B47" s="18"/>
      <x:c r="C47" s="18"/>
      <x:c r="D47" s="18"/>
      <x:c r="E47" s="18"/>
      <x:c r="F47" s="18"/>
      <x:c r="G47" s="18"/>
      <x:c r="H47" s="18"/>
      <x:c r="I47" s="18"/>
      <x:c r="J47" s="24"/>
      <x:c r="K47" s="24"/>
      <x:c r="L47" s="26"/>
      <x:c r="M47" s="28"/>
      <x:c r="N47" s="18"/>
      <x:c r="O47" s="18"/>
      <x:c r="P47" s="18"/>
      <x:c r="Q47" s="18"/>
      <x:c r="R47" s="18"/>
      <x:c r="S47" s="18"/>
    </x:row>
    <x:row r="48" ht="30" customHeight="1">
      <x:c r="A48" s="22"/>
      <x:c r="B48" s="18"/>
      <x:c r="C48" s="18"/>
      <x:c r="D48" s="18"/>
      <x:c r="E48" s="18"/>
      <x:c r="F48" s="18"/>
      <x:c r="G48" s="18"/>
      <x:c r="H48" s="18"/>
      <x:c r="I48" s="18"/>
      <x:c r="J48" s="24"/>
      <x:c r="K48" s="24"/>
      <x:c r="L48" s="26"/>
      <x:c r="M48" s="28"/>
      <x:c r="N48" s="18"/>
      <x:c r="O48" s="18"/>
      <x:c r="P48" s="18"/>
      <x:c r="Q48" s="18"/>
      <x:c r="R48" s="18"/>
      <x:c r="S48" s="18"/>
    </x:row>
    <x:row r="49" ht="30" customHeight="1">
      <x:c r="A49" s="22"/>
      <x:c r="B49" s="18"/>
      <x:c r="C49" s="18"/>
      <x:c r="D49" s="18"/>
      <x:c r="E49" s="18"/>
      <x:c r="F49" s="18"/>
      <x:c r="G49" s="18"/>
      <x:c r="H49" s="18"/>
      <x:c r="I49" s="18"/>
      <x:c r="J49" s="24"/>
      <x:c r="K49" s="24"/>
      <x:c r="L49" s="26"/>
      <x:c r="M49" s="28"/>
      <x:c r="N49" s="18"/>
      <x:c r="O49" s="18"/>
      <x:c r="P49" s="18"/>
      <x:c r="Q49" s="18"/>
      <x:c r="R49" s="18"/>
      <x:c r="S49" s="18"/>
    </x:row>
    <x:row r="50" ht="30" customHeight="1">
      <x:c r="A50" s="22"/>
      <x:c r="B50" s="18"/>
      <x:c r="C50" s="18"/>
      <x:c r="D50" s="18"/>
      <x:c r="E50" s="18"/>
      <x:c r="F50" s="18"/>
      <x:c r="G50" s="18"/>
      <x:c r="H50" s="18"/>
      <x:c r="I50" s="18"/>
      <x:c r="J50" s="24"/>
      <x:c r="K50" s="24"/>
      <x:c r="L50" s="26"/>
      <x:c r="M50" s="28"/>
      <x:c r="N50" s="18"/>
      <x:c r="O50" s="18"/>
      <x:c r="P50" s="18"/>
      <x:c r="Q50" s="18"/>
      <x:c r="R50" s="18"/>
      <x:c r="S50" s="18"/>
    </x:row>
    <x:row r="51" ht="30" customHeight="1">
      <x:c r="A51" s="22"/>
      <x:c r="B51" s="18"/>
      <x:c r="C51" s="18"/>
      <x:c r="D51" s="18"/>
      <x:c r="E51" s="18"/>
      <x:c r="F51" s="18"/>
      <x:c r="G51" s="18"/>
      <x:c r="H51" s="18"/>
      <x:c r="I51" s="18"/>
      <x:c r="J51" s="24"/>
      <x:c r="K51" s="24"/>
      <x:c r="L51" s="26"/>
      <x:c r="M51" s="28"/>
      <x:c r="N51" s="18"/>
      <x:c r="O51" s="18"/>
      <x:c r="P51" s="18"/>
      <x:c r="Q51" s="18"/>
      <x:c r="R51" s="18"/>
      <x:c r="S51" s="18"/>
    </x:row>
    <x:row r="52" ht="30" customHeight="1">
      <x:c r="A52" s="22"/>
      <x:c r="B52" s="18"/>
      <x:c r="C52" s="18"/>
      <x:c r="D52" s="18"/>
      <x:c r="E52" s="18"/>
      <x:c r="F52" s="18"/>
      <x:c r="G52" s="18"/>
      <x:c r="H52" s="18"/>
      <x:c r="I52" s="18"/>
      <x:c r="J52" s="24"/>
      <x:c r="K52" s="24"/>
      <x:c r="L52" s="26"/>
      <x:c r="M52" s="28"/>
      <x:c r="N52" s="18"/>
      <x:c r="O52" s="18"/>
      <x:c r="P52" s="18"/>
      <x:c r="Q52" s="18"/>
      <x:c r="R52" s="18"/>
      <x:c r="S52" s="18"/>
    </x:row>
    <x:row r="53" ht="30" customHeight="1">
      <x:c r="A53" s="22"/>
      <x:c r="B53" s="18"/>
      <x:c r="C53" s="18"/>
      <x:c r="D53" s="18"/>
      <x:c r="E53" s="18"/>
      <x:c r="F53" s="18"/>
      <x:c r="G53" s="18"/>
      <x:c r="H53" s="18"/>
      <x:c r="I53" s="18"/>
      <x:c r="J53" s="24"/>
      <x:c r="K53" s="24"/>
      <x:c r="L53" s="26"/>
      <x:c r="M53" s="28"/>
      <x:c r="N53" s="18"/>
      <x:c r="O53" s="18"/>
      <x:c r="P53" s="18"/>
      <x:c r="Q53" s="18"/>
      <x:c r="R53" s="18"/>
      <x:c r="S53" s="18"/>
    </x:row>
    <x:row r="54" ht="30" customHeight="1">
      <x:c r="A54" s="22"/>
      <x:c r="B54" s="18"/>
      <x:c r="C54" s="18"/>
      <x:c r="D54" s="18"/>
      <x:c r="E54" s="18"/>
      <x:c r="F54" s="18"/>
      <x:c r="G54" s="18"/>
      <x:c r="H54" s="18"/>
      <x:c r="I54" s="18"/>
      <x:c r="J54" s="24"/>
      <x:c r="K54" s="24"/>
      <x:c r="L54" s="26"/>
      <x:c r="M54" s="28"/>
      <x:c r="N54" s="18"/>
      <x:c r="O54" s="18"/>
      <x:c r="P54" s="18"/>
      <x:c r="Q54" s="18"/>
      <x:c r="R54" s="18"/>
      <x:c r="S54" s="18"/>
    </x:row>
    <x:row r="55" ht="30" customHeight="1">
      <x:c r="A55" s="22"/>
      <x:c r="B55" s="18"/>
      <x:c r="C55" s="18"/>
      <x:c r="D55" s="18"/>
      <x:c r="E55" s="18"/>
      <x:c r="F55" s="18"/>
      <x:c r="G55" s="18"/>
      <x:c r="H55" s="18"/>
      <x:c r="I55" s="18"/>
      <x:c r="J55" s="24"/>
      <x:c r="K55" s="24"/>
      <x:c r="L55" s="26"/>
      <x:c r="M55" s="28"/>
      <x:c r="N55" s="18"/>
      <x:c r="O55" s="18"/>
      <x:c r="P55" s="18"/>
      <x:c r="Q55" s="18"/>
      <x:c r="R55" s="18"/>
      <x:c r="S55" s="18"/>
    </x:row>
    <x:row r="56" ht="30" customHeight="1">
      <x:c r="A56" s="22"/>
      <x:c r="B56" s="18"/>
      <x:c r="C56" s="18"/>
      <x:c r="D56" s="18"/>
      <x:c r="E56" s="18"/>
      <x:c r="F56" s="18"/>
      <x:c r="G56" s="18"/>
      <x:c r="H56" s="18"/>
      <x:c r="I56" s="18"/>
      <x:c r="J56" s="24"/>
      <x:c r="K56" s="24"/>
      <x:c r="L56" s="26"/>
      <x:c r="M56" s="28"/>
      <x:c r="N56" s="18"/>
      <x:c r="O56" s="18"/>
      <x:c r="P56" s="18"/>
      <x:c r="Q56" s="18"/>
      <x:c r="R56" s="18"/>
      <x:c r="S56" s="18"/>
    </x:row>
    <x:row r="57" ht="30" customHeight="1">
      <x:c r="A57" s="22"/>
      <x:c r="B57" s="18"/>
      <x:c r="C57" s="18"/>
      <x:c r="D57" s="18"/>
      <x:c r="E57" s="18"/>
      <x:c r="F57" s="18"/>
      <x:c r="G57" s="18"/>
      <x:c r="H57" s="18"/>
      <x:c r="I57" s="18"/>
      <x:c r="J57" s="24"/>
      <x:c r="K57" s="24"/>
      <x:c r="L57" s="26"/>
      <x:c r="M57" s="28"/>
      <x:c r="N57" s="18"/>
      <x:c r="O57" s="18"/>
      <x:c r="P57" s="18"/>
      <x:c r="Q57" s="18"/>
      <x:c r="R57" s="18"/>
      <x:c r="S57" s="18"/>
    </x:row>
    <x:row r="58" ht="30" customHeight="1">
      <x:c r="A58" s="22"/>
      <x:c r="B58" s="18"/>
      <x:c r="C58" s="18"/>
      <x:c r="D58" s="18"/>
      <x:c r="E58" s="18"/>
      <x:c r="F58" s="18"/>
      <x:c r="G58" s="18"/>
      <x:c r="H58" s="18"/>
      <x:c r="I58" s="18"/>
      <x:c r="J58" s="24"/>
      <x:c r="K58" s="24"/>
      <x:c r="L58" s="26"/>
      <x:c r="M58" s="28"/>
      <x:c r="N58" s="18"/>
      <x:c r="O58" s="18"/>
      <x:c r="P58" s="18"/>
      <x:c r="Q58" s="18"/>
      <x:c r="R58" s="18"/>
      <x:c r="S58" s="18"/>
    </x:row>
    <x:row r="59" ht="30" customHeight="1">
      <x:c r="A59" s="22"/>
      <x:c r="B59" s="18"/>
      <x:c r="C59" s="18"/>
      <x:c r="D59" s="18"/>
      <x:c r="E59" s="18"/>
      <x:c r="F59" s="18"/>
      <x:c r="G59" s="18"/>
      <x:c r="H59" s="18"/>
      <x:c r="I59" s="18"/>
      <x:c r="J59" s="24"/>
      <x:c r="K59" s="24"/>
      <x:c r="L59" s="26"/>
      <x:c r="M59" s="28"/>
      <x:c r="N59" s="18"/>
      <x:c r="O59" s="18"/>
      <x:c r="P59" s="18"/>
      <x:c r="Q59" s="18"/>
      <x:c r="R59" s="18"/>
      <x:c r="S59" s="18"/>
    </x:row>
    <x:row r="60" ht="30" customHeight="1">
      <x:c r="A60" s="22"/>
      <x:c r="B60" s="18"/>
      <x:c r="C60" s="18"/>
      <x:c r="D60" s="18"/>
      <x:c r="E60" s="18"/>
      <x:c r="F60" s="18"/>
      <x:c r="G60" s="18"/>
      <x:c r="H60" s="18"/>
      <x:c r="I60" s="18"/>
      <x:c r="J60" s="24"/>
      <x:c r="K60" s="24"/>
      <x:c r="L60" s="26"/>
      <x:c r="M60" s="28"/>
      <x:c r="N60" s="18"/>
      <x:c r="O60" s="18"/>
      <x:c r="P60" s="18"/>
      <x:c r="Q60" s="18"/>
      <x:c r="R60" s="18"/>
      <x:c r="S60" s="18"/>
    </x:row>
    <x:row r="61" ht="30" customHeight="1">
      <x:c r="A61" s="22"/>
      <x:c r="B61" s="18"/>
      <x:c r="C61" s="18"/>
      <x:c r="D61" s="18"/>
      <x:c r="E61" s="18"/>
      <x:c r="F61" s="18"/>
      <x:c r="G61" s="18"/>
      <x:c r="H61" s="18"/>
      <x:c r="I61" s="18"/>
      <x:c r="J61" s="24"/>
      <x:c r="K61" s="24"/>
      <x:c r="L61" s="26"/>
      <x:c r="M61" s="28"/>
      <x:c r="N61" s="18"/>
      <x:c r="O61" s="18"/>
      <x:c r="P61" s="18"/>
      <x:c r="Q61" s="18"/>
      <x:c r="R61" s="18"/>
      <x:c r="S61" s="18"/>
    </x:row>
    <x:row r="62" ht="30" customHeight="1">
      <x:c r="A62" s="22"/>
      <x:c r="B62" s="18"/>
      <x:c r="C62" s="18"/>
      <x:c r="D62" s="18"/>
      <x:c r="E62" s="18"/>
      <x:c r="F62" s="18"/>
      <x:c r="G62" s="18"/>
      <x:c r="H62" s="18"/>
      <x:c r="I62" s="18"/>
      <x:c r="J62" s="24"/>
      <x:c r="K62" s="24"/>
      <x:c r="L62" s="26"/>
      <x:c r="M62" s="28"/>
      <x:c r="N62" s="18"/>
      <x:c r="O62" s="18"/>
      <x:c r="P62" s="18"/>
      <x:c r="Q62" s="18"/>
      <x:c r="R62" s="18"/>
      <x:c r="S62" s="18"/>
    </x:row>
    <x:row r="63" ht="30" customHeight="1">
      <x:c r="A63" s="22"/>
      <x:c r="B63" s="18"/>
      <x:c r="C63" s="18"/>
      <x:c r="D63" s="18"/>
      <x:c r="E63" s="18"/>
      <x:c r="F63" s="18"/>
      <x:c r="G63" s="18"/>
      <x:c r="H63" s="18"/>
      <x:c r="I63" s="18"/>
      <x:c r="J63" s="24"/>
      <x:c r="K63" s="24"/>
      <x:c r="L63" s="26"/>
      <x:c r="M63" s="28"/>
      <x:c r="N63" s="18"/>
      <x:c r="O63" s="18"/>
      <x:c r="P63" s="18"/>
      <x:c r="Q63" s="18"/>
      <x:c r="R63" s="18"/>
      <x:c r="S63" s="18"/>
    </x:row>
    <x:row r="64" ht="30" customHeight="1">
      <x:c r="A64" s="22"/>
      <x:c r="B64" s="18"/>
      <x:c r="C64" s="18"/>
      <x:c r="D64" s="18"/>
      <x:c r="E64" s="18"/>
      <x:c r="F64" s="18"/>
      <x:c r="G64" s="18"/>
      <x:c r="H64" s="18"/>
      <x:c r="I64" s="18"/>
      <x:c r="J64" s="24"/>
      <x:c r="K64" s="24"/>
      <x:c r="L64" s="26"/>
      <x:c r="M64" s="28"/>
      <x:c r="N64" s="18"/>
      <x:c r="O64" s="18"/>
      <x:c r="P64" s="18"/>
      <x:c r="Q64" s="18"/>
      <x:c r="R64" s="18"/>
      <x:c r="S64" s="18"/>
    </x:row>
    <x:row r="65" ht="30" customHeight="1">
      <x:c r="A65" s="22"/>
      <x:c r="B65" s="18"/>
      <x:c r="C65" s="18"/>
      <x:c r="D65" s="18"/>
      <x:c r="E65" s="18"/>
      <x:c r="F65" s="18"/>
      <x:c r="G65" s="18"/>
      <x:c r="H65" s="18"/>
      <x:c r="I65" s="18"/>
      <x:c r="J65" s="24"/>
      <x:c r="K65" s="24"/>
      <x:c r="L65" s="26"/>
      <x:c r="M65" s="28"/>
      <x:c r="N65" s="18"/>
      <x:c r="O65" s="18"/>
      <x:c r="P65" s="18"/>
      <x:c r="Q65" s="18"/>
      <x:c r="R65" s="18"/>
      <x:c r="S65" s="18"/>
    </x:row>
    <x:row r="66" ht="30" customHeight="1">
      <x:c r="A66" s="22"/>
      <x:c r="B66" s="18"/>
      <x:c r="C66" s="18"/>
      <x:c r="D66" s="18"/>
      <x:c r="E66" s="18"/>
      <x:c r="F66" s="18"/>
      <x:c r="G66" s="18"/>
      <x:c r="H66" s="18"/>
      <x:c r="I66" s="18"/>
      <x:c r="J66" s="24"/>
      <x:c r="K66" s="24"/>
      <x:c r="L66" s="26"/>
      <x:c r="M66" s="28"/>
      <x:c r="N66" s="18"/>
      <x:c r="O66" s="18"/>
      <x:c r="P66" s="18"/>
      <x:c r="Q66" s="18"/>
      <x:c r="R66" s="18"/>
      <x:c r="S66" s="18"/>
    </x:row>
    <x:row r="67" ht="30" customHeight="1">
      <x:c r="A67" s="22"/>
      <x:c r="B67" s="18"/>
      <x:c r="C67" s="18"/>
      <x:c r="D67" s="18"/>
      <x:c r="E67" s="18"/>
      <x:c r="F67" s="18"/>
      <x:c r="G67" s="18"/>
      <x:c r="H67" s="18"/>
      <x:c r="I67" s="18"/>
      <x:c r="J67" s="24"/>
      <x:c r="K67" s="24"/>
      <x:c r="L67" s="26"/>
      <x:c r="M67" s="28"/>
      <x:c r="N67" s="18"/>
      <x:c r="O67" s="18"/>
      <x:c r="P67" s="18"/>
      <x:c r="Q67" s="18"/>
      <x:c r="R67" s="18"/>
      <x:c r="S67" s="18"/>
    </x:row>
    <x:row r="68" ht="30" customHeight="1">
      <x:c r="A68" s="22"/>
      <x:c r="B68" s="18"/>
      <x:c r="C68" s="18"/>
      <x:c r="D68" s="18"/>
      <x:c r="E68" s="18"/>
      <x:c r="F68" s="18"/>
      <x:c r="G68" s="18"/>
      <x:c r="H68" s="18"/>
      <x:c r="I68" s="18"/>
      <x:c r="J68" s="24"/>
      <x:c r="K68" s="24"/>
      <x:c r="L68" s="26"/>
      <x:c r="M68" s="28"/>
      <x:c r="N68" s="18"/>
      <x:c r="O68" s="18"/>
      <x:c r="P68" s="18"/>
      <x:c r="Q68" s="18"/>
      <x:c r="R68" s="18"/>
      <x:c r="S68" s="18"/>
    </x:row>
    <x:row r="69" ht="30" customHeight="1">
      <x:c r="A69" s="22"/>
      <x:c r="B69" s="18"/>
      <x:c r="C69" s="18"/>
      <x:c r="D69" s="18"/>
      <x:c r="E69" s="18"/>
      <x:c r="F69" s="18"/>
      <x:c r="G69" s="18"/>
      <x:c r="H69" s="18"/>
      <x:c r="I69" s="18"/>
      <x:c r="J69" s="24"/>
      <x:c r="K69" s="24"/>
      <x:c r="L69" s="26"/>
      <x:c r="M69" s="28"/>
      <x:c r="N69" s="18"/>
      <x:c r="O69" s="18"/>
      <x:c r="P69" s="18"/>
      <x:c r="Q69" s="18"/>
      <x:c r="R69" s="18"/>
      <x:c r="S69" s="18"/>
    </x:row>
    <x:row r="70" ht="30" customHeight="1">
      <x:c r="A70" s="22"/>
      <x:c r="B70" s="18"/>
      <x:c r="C70" s="18"/>
      <x:c r="D70" s="18"/>
      <x:c r="E70" s="18"/>
      <x:c r="F70" s="18"/>
      <x:c r="G70" s="18"/>
      <x:c r="H70" s="18"/>
      <x:c r="I70" s="18"/>
      <x:c r="J70" s="24"/>
      <x:c r="K70" s="24"/>
      <x:c r="L70" s="26"/>
      <x:c r="M70" s="28"/>
      <x:c r="N70" s="18"/>
      <x:c r="O70" s="18"/>
      <x:c r="P70" s="18"/>
      <x:c r="Q70" s="18"/>
      <x:c r="R70" s="18"/>
      <x:c r="S70" s="18"/>
    </x:row>
    <x:row r="71" ht="30" customHeight="1">
      <x:c r="A71" s="22"/>
      <x:c r="B71" s="18"/>
      <x:c r="C71" s="18"/>
      <x:c r="D71" s="18"/>
      <x:c r="E71" s="18"/>
      <x:c r="F71" s="18"/>
      <x:c r="G71" s="18"/>
      <x:c r="H71" s="18"/>
      <x:c r="I71" s="18"/>
      <x:c r="J71" s="24"/>
      <x:c r="K71" s="24"/>
      <x:c r="L71" s="26"/>
      <x:c r="M71" s="28"/>
      <x:c r="N71" s="18"/>
      <x:c r="O71" s="18"/>
      <x:c r="P71" s="18"/>
      <x:c r="Q71" s="18"/>
      <x:c r="R71" s="18"/>
      <x:c r="S71" s="18"/>
    </x:row>
    <x:row r="72" ht="30" customHeight="1">
      <x:c r="A72" s="22"/>
      <x:c r="B72" s="18"/>
      <x:c r="C72" s="18"/>
      <x:c r="D72" s="18"/>
      <x:c r="E72" s="18"/>
      <x:c r="F72" s="18"/>
      <x:c r="G72" s="18"/>
      <x:c r="H72" s="18"/>
      <x:c r="I72" s="18"/>
      <x:c r="J72" s="24"/>
      <x:c r="K72" s="24"/>
      <x:c r="L72" s="26"/>
      <x:c r="M72" s="28"/>
      <x:c r="N72" s="18"/>
      <x:c r="O72" s="18"/>
      <x:c r="P72" s="18"/>
      <x:c r="Q72" s="18"/>
      <x:c r="R72" s="18"/>
      <x:c r="S72" s="18"/>
    </x:row>
    <x:row r="73" ht="30" customHeight="1">
      <x:c r="A73" s="22"/>
      <x:c r="B73" s="18"/>
      <x:c r="C73" s="18"/>
      <x:c r="D73" s="18"/>
      <x:c r="E73" s="18"/>
      <x:c r="F73" s="18"/>
      <x:c r="G73" s="18"/>
      <x:c r="H73" s="18"/>
      <x:c r="I73" s="18"/>
      <x:c r="J73" s="24"/>
      <x:c r="K73" s="24"/>
      <x:c r="L73" s="26"/>
      <x:c r="M73" s="28"/>
      <x:c r="N73" s="18"/>
      <x:c r="O73" s="18"/>
      <x:c r="P73" s="18"/>
      <x:c r="Q73" s="18"/>
      <x:c r="R73" s="18"/>
      <x:c r="S73" s="18"/>
    </x:row>
    <x:row r="74" ht="30" customHeight="1">
      <x:c r="A74" s="22"/>
      <x:c r="B74" s="18"/>
      <x:c r="C74" s="18"/>
      <x:c r="D74" s="18"/>
      <x:c r="E74" s="18"/>
      <x:c r="F74" s="18"/>
      <x:c r="G74" s="18"/>
      <x:c r="H74" s="18"/>
      <x:c r="I74" s="18"/>
      <x:c r="J74" s="24"/>
      <x:c r="K74" s="24"/>
      <x:c r="L74" s="26"/>
      <x:c r="M74" s="28"/>
      <x:c r="N74" s="18"/>
      <x:c r="O74" s="18"/>
      <x:c r="P74" s="18"/>
      <x:c r="Q74" s="18"/>
      <x:c r="R74" s="18"/>
      <x:c r="S74" s="18"/>
    </x:row>
    <x:row r="75" ht="30" customHeight="1">
      <x:c r="A75" s="22"/>
      <x:c r="B75" s="18"/>
      <x:c r="C75" s="18"/>
      <x:c r="D75" s="18"/>
      <x:c r="E75" s="18"/>
      <x:c r="F75" s="18"/>
      <x:c r="G75" s="18"/>
      <x:c r="H75" s="18"/>
      <x:c r="I75" s="18"/>
      <x:c r="J75" s="24"/>
      <x:c r="K75" s="24"/>
      <x:c r="L75" s="26"/>
      <x:c r="M75" s="28"/>
      <x:c r="N75" s="18"/>
      <x:c r="O75" s="18"/>
      <x:c r="P75" s="18"/>
      <x:c r="Q75" s="18"/>
      <x:c r="R75" s="18"/>
      <x:c r="S75" s="18"/>
    </x:row>
    <x:row r="76" ht="30" customHeight="1">
      <x:c r="A76" s="22"/>
      <x:c r="B76" s="18"/>
      <x:c r="C76" s="18"/>
      <x:c r="D76" s="18"/>
      <x:c r="E76" s="18"/>
      <x:c r="F76" s="18"/>
      <x:c r="G76" s="18"/>
      <x:c r="H76" s="18"/>
      <x:c r="I76" s="18"/>
      <x:c r="J76" s="24"/>
      <x:c r="K76" s="24"/>
      <x:c r="L76" s="26"/>
      <x:c r="M76" s="28"/>
      <x:c r="N76" s="18"/>
      <x:c r="O76" s="18"/>
      <x:c r="P76" s="18"/>
      <x:c r="Q76" s="18"/>
      <x:c r="R76" s="18"/>
      <x:c r="S76" s="18"/>
    </x:row>
    <x:row r="77" ht="30" customHeight="1">
      <x:c r="A77" s="22"/>
      <x:c r="B77" s="18"/>
      <x:c r="C77" s="18"/>
      <x:c r="D77" s="18"/>
      <x:c r="E77" s="18"/>
      <x:c r="F77" s="18"/>
      <x:c r="G77" s="18"/>
      <x:c r="H77" s="18"/>
      <x:c r="I77" s="18"/>
      <x:c r="J77" s="24"/>
      <x:c r="K77" s="24"/>
      <x:c r="L77" s="26"/>
      <x:c r="M77" s="28"/>
      <x:c r="N77" s="18"/>
      <x:c r="O77" s="18"/>
      <x:c r="P77" s="18"/>
      <x:c r="Q77" s="18"/>
      <x:c r="R77" s="18"/>
      <x:c r="S77" s="18"/>
    </x:row>
    <x:row r="78" ht="30" customHeight="1">
      <x:c r="A78" s="22"/>
      <x:c r="B78" s="18"/>
      <x:c r="C78" s="18"/>
      <x:c r="D78" s="18"/>
      <x:c r="E78" s="18"/>
      <x:c r="F78" s="18"/>
      <x:c r="G78" s="18"/>
      <x:c r="H78" s="18"/>
      <x:c r="I78" s="18"/>
      <x:c r="J78" s="24"/>
      <x:c r="K78" s="24"/>
      <x:c r="L78" s="26"/>
      <x:c r="M78" s="28"/>
      <x:c r="N78" s="18"/>
      <x:c r="O78" s="18"/>
      <x:c r="P78" s="18"/>
      <x:c r="Q78" s="18"/>
      <x:c r="R78" s="18"/>
      <x:c r="S78" s="18"/>
    </x:row>
    <x:row r="79" ht="30" customHeight="1">
      <x:c r="A79" s="22"/>
      <x:c r="B79" s="18"/>
      <x:c r="C79" s="18"/>
      <x:c r="D79" s="18"/>
      <x:c r="E79" s="18"/>
      <x:c r="F79" s="18"/>
      <x:c r="G79" s="18"/>
      <x:c r="H79" s="18"/>
      <x:c r="I79" s="18"/>
      <x:c r="J79" s="24"/>
      <x:c r="K79" s="24"/>
      <x:c r="L79" s="26"/>
      <x:c r="M79" s="28"/>
      <x:c r="N79" s="18"/>
      <x:c r="O79" s="18"/>
      <x:c r="P79" s="18"/>
      <x:c r="Q79" s="18"/>
      <x:c r="R79" s="18"/>
      <x:c r="S79" s="18"/>
    </x:row>
    <x:row r="80" ht="30" customHeight="1">
      <x:c r="A80" s="22"/>
      <x:c r="B80" s="18"/>
      <x:c r="C80" s="18"/>
      <x:c r="D80" s="18"/>
      <x:c r="E80" s="18"/>
      <x:c r="F80" s="18"/>
      <x:c r="G80" s="18"/>
      <x:c r="H80" s="18"/>
      <x:c r="I80" s="18"/>
      <x:c r="J80" s="24"/>
      <x:c r="K80" s="24"/>
      <x:c r="L80" s="26"/>
      <x:c r="M80" s="28"/>
      <x:c r="N80" s="18"/>
      <x:c r="O80" s="18"/>
      <x:c r="P80" s="18"/>
      <x:c r="Q80" s="18"/>
      <x:c r="R80" s="18"/>
      <x:c r="S80" s="18"/>
    </x:row>
    <x:row r="81" ht="30" customHeight="1">
      <x:c r="A81" s="22"/>
      <x:c r="B81" s="18"/>
      <x:c r="C81" s="18"/>
      <x:c r="D81" s="18"/>
      <x:c r="E81" s="18"/>
      <x:c r="F81" s="18"/>
      <x:c r="G81" s="18"/>
      <x:c r="H81" s="18"/>
      <x:c r="I81" s="18"/>
      <x:c r="J81" s="24"/>
      <x:c r="K81" s="24"/>
      <x:c r="L81" s="26"/>
      <x:c r="M81" s="28"/>
      <x:c r="N81" s="18"/>
      <x:c r="O81" s="18"/>
      <x:c r="P81" s="18"/>
      <x:c r="Q81" s="18"/>
      <x:c r="R81" s="18"/>
      <x:c r="S81" s="18"/>
    </x:row>
    <x:row r="82" ht="30" customHeight="1">
      <x:c r="A82" s="22"/>
      <x:c r="B82" s="18"/>
      <x:c r="C82" s="18"/>
      <x:c r="D82" s="18"/>
      <x:c r="E82" s="18"/>
      <x:c r="F82" s="18"/>
      <x:c r="G82" s="18"/>
      <x:c r="H82" s="18"/>
      <x:c r="I82" s="18"/>
      <x:c r="J82" s="24"/>
      <x:c r="K82" s="24"/>
      <x:c r="L82" s="26"/>
      <x:c r="M82" s="28"/>
      <x:c r="N82" s="18"/>
      <x:c r="O82" s="18"/>
      <x:c r="P82" s="18"/>
      <x:c r="Q82" s="18"/>
      <x:c r="R82" s="18"/>
      <x:c r="S82" s="18"/>
    </x:row>
    <x:row r="83" ht="30" customHeight="1">
      <x:c r="A83" s="22"/>
      <x:c r="B83" s="18"/>
      <x:c r="C83" s="18"/>
      <x:c r="D83" s="18"/>
      <x:c r="E83" s="18"/>
      <x:c r="F83" s="18"/>
      <x:c r="G83" s="18"/>
      <x:c r="H83" s="18"/>
      <x:c r="I83" s="18"/>
      <x:c r="J83" s="24"/>
      <x:c r="K83" s="24"/>
      <x:c r="L83" s="26"/>
      <x:c r="M83" s="28"/>
      <x:c r="N83" s="18"/>
      <x:c r="O83" s="18"/>
      <x:c r="P83" s="18"/>
      <x:c r="Q83" s="18"/>
      <x:c r="R83" s="18"/>
      <x:c r="S83" s="18"/>
    </x:row>
    <x:row r="84" ht="30" customHeight="1">
      <x:c r="A84" s="22"/>
      <x:c r="B84" s="18"/>
      <x:c r="C84" s="18"/>
      <x:c r="D84" s="18"/>
      <x:c r="E84" s="18"/>
      <x:c r="F84" s="18"/>
      <x:c r="G84" s="18"/>
      <x:c r="H84" s="18"/>
      <x:c r="I84" s="18"/>
      <x:c r="J84" s="24"/>
      <x:c r="K84" s="24"/>
      <x:c r="L84" s="26"/>
      <x:c r="M84" s="28"/>
      <x:c r="N84" s="18"/>
      <x:c r="O84" s="18"/>
      <x:c r="P84" s="18"/>
      <x:c r="Q84" s="18"/>
      <x:c r="R84" s="18"/>
      <x:c r="S84" s="18"/>
    </x:row>
    <x:row r="85" ht="30" customHeight="1">
      <x:c r="A85" s="22"/>
      <x:c r="B85" s="18"/>
      <x:c r="C85" s="18"/>
      <x:c r="D85" s="18"/>
      <x:c r="E85" s="18"/>
      <x:c r="F85" s="18"/>
      <x:c r="G85" s="18"/>
      <x:c r="H85" s="18"/>
      <x:c r="I85" s="18"/>
      <x:c r="J85" s="24"/>
      <x:c r="K85" s="24"/>
      <x:c r="L85" s="26"/>
      <x:c r="M85" s="28"/>
      <x:c r="N85" s="18"/>
      <x:c r="O85" s="18"/>
      <x:c r="P85" s="18"/>
      <x:c r="Q85" s="18"/>
      <x:c r="R85" s="18"/>
      <x:c r="S85" s="18"/>
    </x:row>
    <x:row r="86" ht="30" customHeight="1">
      <x:c r="A86" s="22"/>
      <x:c r="B86" s="18"/>
      <x:c r="C86" s="18"/>
      <x:c r="D86" s="18"/>
      <x:c r="E86" s="18"/>
      <x:c r="F86" s="18"/>
      <x:c r="G86" s="18"/>
      <x:c r="H86" s="18"/>
      <x:c r="I86" s="18"/>
      <x:c r="J86" s="24"/>
      <x:c r="K86" s="24"/>
      <x:c r="L86" s="26"/>
      <x:c r="M86" s="28"/>
      <x:c r="N86" s="18"/>
      <x:c r="O86" s="18"/>
      <x:c r="P86" s="18"/>
      <x:c r="Q86" s="18"/>
      <x:c r="R86" s="18"/>
      <x:c r="S86" s="18"/>
    </x:row>
    <x:row r="87" ht="30" customHeight="1">
      <x:c r="A87" s="22"/>
      <x:c r="B87" s="18"/>
      <x:c r="C87" s="18"/>
      <x:c r="D87" s="18"/>
      <x:c r="E87" s="18"/>
      <x:c r="F87" s="18"/>
      <x:c r="G87" s="18"/>
      <x:c r="H87" s="18"/>
      <x:c r="I87" s="18"/>
      <x:c r="J87" s="24"/>
      <x:c r="K87" s="24"/>
      <x:c r="L87" s="26"/>
      <x:c r="M87" s="28"/>
      <x:c r="N87" s="18"/>
      <x:c r="O87" s="18"/>
      <x:c r="P87" s="18"/>
      <x:c r="Q87" s="18"/>
      <x:c r="R87" s="18"/>
      <x:c r="S87" s="18"/>
    </x:row>
    <x:row r="88" ht="30" customHeight="1">
      <x:c r="A88" s="22"/>
      <x:c r="B88" s="18"/>
      <x:c r="C88" s="18"/>
      <x:c r="D88" s="18"/>
      <x:c r="E88" s="18"/>
      <x:c r="F88" s="18"/>
      <x:c r="G88" s="18"/>
      <x:c r="H88" s="18"/>
      <x:c r="I88" s="18"/>
      <x:c r="J88" s="24"/>
      <x:c r="K88" s="24"/>
      <x:c r="L88" s="26"/>
      <x:c r="M88" s="28"/>
      <x:c r="N88" s="18"/>
      <x:c r="O88" s="18"/>
      <x:c r="P88" s="18"/>
      <x:c r="Q88" s="18"/>
      <x:c r="R88" s="18"/>
      <x:c r="S88" s="18"/>
    </x:row>
    <x:row r="89" ht="30" customHeight="1">
      <x:c r="A89" s="22"/>
      <x:c r="B89" s="18"/>
      <x:c r="C89" s="18"/>
      <x:c r="D89" s="18"/>
      <x:c r="E89" s="18"/>
      <x:c r="F89" s="18"/>
      <x:c r="G89" s="18"/>
      <x:c r="H89" s="18"/>
      <x:c r="I89" s="18"/>
      <x:c r="J89" s="24"/>
      <x:c r="K89" s="24"/>
      <x:c r="L89" s="26"/>
      <x:c r="M89" s="28"/>
      <x:c r="N89" s="18"/>
      <x:c r="O89" s="18"/>
      <x:c r="P89" s="18"/>
      <x:c r="Q89" s="18"/>
      <x:c r="R89" s="18"/>
      <x:c r="S89" s="18"/>
    </x:row>
    <x:row r="90" ht="30" customHeight="1">
      <x:c r="A90" s="22"/>
      <x:c r="B90" s="18"/>
      <x:c r="C90" s="18"/>
      <x:c r="D90" s="18"/>
      <x:c r="E90" s="18"/>
      <x:c r="F90" s="18"/>
      <x:c r="G90" s="18"/>
      <x:c r="H90" s="18"/>
      <x:c r="I90" s="18"/>
      <x:c r="J90" s="24"/>
      <x:c r="K90" s="24"/>
      <x:c r="L90" s="26"/>
      <x:c r="M90" s="28"/>
      <x:c r="N90" s="18"/>
      <x:c r="O90" s="18"/>
      <x:c r="P90" s="18"/>
      <x:c r="Q90" s="18"/>
      <x:c r="R90" s="18"/>
      <x:c r="S90" s="18"/>
    </x:row>
    <x:row r="91" ht="30" customHeight="1">
      <x:c r="A91" s="22"/>
      <x:c r="B91" s="18"/>
      <x:c r="C91" s="18"/>
      <x:c r="D91" s="18"/>
      <x:c r="E91" s="18"/>
      <x:c r="F91" s="18"/>
      <x:c r="G91" s="18"/>
      <x:c r="H91" s="18"/>
      <x:c r="I91" s="18"/>
      <x:c r="J91" s="24"/>
      <x:c r="K91" s="24"/>
      <x:c r="L91" s="26"/>
      <x:c r="M91" s="28"/>
      <x:c r="N91" s="18"/>
      <x:c r="O91" s="18"/>
      <x:c r="P91" s="18"/>
      <x:c r="Q91" s="18"/>
      <x:c r="R91" s="18"/>
      <x:c r="S91" s="18"/>
    </x:row>
    <x:row r="92" ht="30" customHeight="1">
      <x:c r="A92" s="22"/>
      <x:c r="B92" s="18"/>
      <x:c r="C92" s="18"/>
      <x:c r="D92" s="18"/>
      <x:c r="E92" s="18"/>
      <x:c r="F92" s="18"/>
      <x:c r="G92" s="18"/>
      <x:c r="H92" s="18"/>
      <x:c r="I92" s="18"/>
      <x:c r="J92" s="24"/>
      <x:c r="K92" s="24"/>
      <x:c r="L92" s="26"/>
      <x:c r="M92" s="28"/>
      <x:c r="N92" s="18"/>
      <x:c r="O92" s="18"/>
      <x:c r="P92" s="18"/>
      <x:c r="Q92" s="18"/>
      <x:c r="R92" s="18"/>
      <x:c r="S92" s="18"/>
    </x:row>
    <x:row r="93" ht="30" customHeight="1">
      <x:c r="A93" s="22"/>
      <x:c r="B93" s="18"/>
      <x:c r="C93" s="18"/>
      <x:c r="D93" s="18"/>
      <x:c r="E93" s="18"/>
      <x:c r="F93" s="18"/>
      <x:c r="G93" s="18"/>
      <x:c r="H93" s="18"/>
      <x:c r="I93" s="18"/>
      <x:c r="J93" s="24"/>
      <x:c r="K93" s="24"/>
      <x:c r="L93" s="26"/>
      <x:c r="M93" s="28"/>
      <x:c r="N93" s="18"/>
      <x:c r="O93" s="18"/>
      <x:c r="P93" s="18"/>
      <x:c r="Q93" s="18"/>
      <x:c r="R93" s="18"/>
      <x:c r="S93" s="18"/>
    </x:row>
    <x:row r="94" ht="30" customHeight="1">
      <x:c r="A94" s="22"/>
      <x:c r="B94" s="18"/>
      <x:c r="C94" s="18"/>
      <x:c r="D94" s="18"/>
      <x:c r="E94" s="18"/>
      <x:c r="F94" s="18"/>
      <x:c r="G94" s="18"/>
      <x:c r="H94" s="18"/>
      <x:c r="I94" s="18"/>
      <x:c r="J94" s="24"/>
      <x:c r="K94" s="24"/>
      <x:c r="L94" s="26"/>
      <x:c r="M94" s="28"/>
      <x:c r="N94" s="18"/>
      <x:c r="O94" s="18"/>
      <x:c r="P94" s="18"/>
      <x:c r="Q94" s="18"/>
      <x:c r="R94" s="18"/>
      <x:c r="S94" s="18"/>
    </x:row>
    <x:row r="95" ht="30" customHeight="1">
      <x:c r="A95" s="22"/>
      <x:c r="B95" s="18"/>
      <x:c r="C95" s="18"/>
      <x:c r="D95" s="18"/>
      <x:c r="E95" s="18"/>
      <x:c r="F95" s="18"/>
      <x:c r="G95" s="18"/>
      <x:c r="H95" s="18"/>
      <x:c r="I95" s="18"/>
      <x:c r="J95" s="24"/>
      <x:c r="K95" s="24"/>
      <x:c r="L95" s="26"/>
      <x:c r="M95" s="28"/>
      <x:c r="N95" s="18"/>
      <x:c r="O95" s="18"/>
      <x:c r="P95" s="18"/>
      <x:c r="Q95" s="18"/>
      <x:c r="R95" s="18"/>
      <x:c r="S95" s="18"/>
    </x:row>
    <x:row r="96" ht="30" customHeight="1">
      <x:c r="A96" s="22"/>
      <x:c r="B96" s="18"/>
      <x:c r="C96" s="18"/>
      <x:c r="D96" s="18"/>
      <x:c r="E96" s="18"/>
      <x:c r="F96" s="18"/>
      <x:c r="G96" s="18"/>
      <x:c r="H96" s="18"/>
      <x:c r="I96" s="18"/>
      <x:c r="J96" s="24"/>
      <x:c r="K96" s="24"/>
      <x:c r="L96" s="26"/>
      <x:c r="M96" s="28"/>
      <x:c r="N96" s="18"/>
      <x:c r="O96" s="18"/>
      <x:c r="P96" s="18"/>
      <x:c r="Q96" s="18"/>
      <x:c r="R96" s="18"/>
      <x:c r="S96" s="18"/>
    </x:row>
    <x:row r="97" ht="30" customHeight="1">
      <x:c r="A97" s="22"/>
      <x:c r="B97" s="18"/>
      <x:c r="C97" s="18"/>
      <x:c r="D97" s="18"/>
      <x:c r="E97" s="18"/>
      <x:c r="F97" s="18"/>
      <x:c r="G97" s="18"/>
      <x:c r="H97" s="18"/>
      <x:c r="I97" s="18"/>
      <x:c r="J97" s="24"/>
      <x:c r="K97" s="24"/>
      <x:c r="L97" s="26"/>
      <x:c r="M97" s="28"/>
      <x:c r="N97" s="18"/>
      <x:c r="O97" s="18"/>
      <x:c r="P97" s="18"/>
      <x:c r="Q97" s="18"/>
      <x:c r="R97" s="18"/>
      <x:c r="S97" s="18"/>
    </x:row>
    <x:row r="98" ht="30" customHeight="1">
      <x:c r="A98" s="22"/>
      <x:c r="B98" s="18"/>
      <x:c r="C98" s="18"/>
      <x:c r="D98" s="18"/>
      <x:c r="E98" s="18"/>
      <x:c r="F98" s="18"/>
      <x:c r="G98" s="18"/>
      <x:c r="H98" s="18"/>
      <x:c r="I98" s="18"/>
      <x:c r="J98" s="24"/>
      <x:c r="K98" s="24"/>
      <x:c r="L98" s="26"/>
      <x:c r="M98" s="28"/>
      <x:c r="N98" s="18"/>
      <x:c r="O98" s="18"/>
      <x:c r="P98" s="18"/>
      <x:c r="Q98" s="18"/>
      <x:c r="R98" s="18"/>
      <x:c r="S98" s="18"/>
    </x:row>
    <x:row r="99" ht="30" customHeight="1">
      <x:c r="A99" s="22"/>
      <x:c r="B99" s="18"/>
      <x:c r="C99" s="18"/>
      <x:c r="D99" s="18"/>
      <x:c r="E99" s="18"/>
      <x:c r="F99" s="18"/>
      <x:c r="G99" s="18"/>
      <x:c r="H99" s="18"/>
      <x:c r="I99" s="18"/>
      <x:c r="J99" s="24"/>
      <x:c r="K99" s="24"/>
      <x:c r="L99" s="26"/>
      <x:c r="M99" s="28"/>
      <x:c r="N99" s="18"/>
      <x:c r="O99" s="18"/>
      <x:c r="P99" s="18"/>
      <x:c r="Q99" s="18"/>
      <x:c r="R99" s="18"/>
      <x:c r="S99" s="18"/>
    </x:row>
    <x:row r="100" ht="30" customHeight="1">
      <x:c r="A100" s="22"/>
      <x:c r="B100" s="18"/>
      <x:c r="C100" s="18"/>
      <x:c r="D100" s="18"/>
      <x:c r="E100" s="18"/>
      <x:c r="F100" s="18"/>
      <x:c r="G100" s="18"/>
      <x:c r="H100" s="18"/>
      <x:c r="I100" s="18"/>
      <x:c r="J100" s="24"/>
      <x:c r="K100" s="24"/>
      <x:c r="L100" s="26"/>
      <x:c r="M100" s="28"/>
      <x:c r="N100" s="18"/>
      <x:c r="O100" s="18"/>
      <x:c r="P100" s="18"/>
      <x:c r="Q100" s="18"/>
      <x:c r="R100" s="18"/>
      <x:c r="S100" s="18"/>
    </x:row>
    <x:row r="101" ht="30" customHeight="1">
      <x:c r="A101" s="22"/>
      <x:c r="B101" s="18"/>
      <x:c r="C101" s="18"/>
      <x:c r="D101" s="18"/>
      <x:c r="E101" s="18"/>
      <x:c r="F101" s="18"/>
      <x:c r="G101" s="18"/>
      <x:c r="H101" s="18"/>
      <x:c r="I101" s="18"/>
      <x:c r="J101" s="24"/>
      <x:c r="K101" s="24"/>
      <x:c r="L101" s="26"/>
      <x:c r="M101" s="28"/>
      <x:c r="N101" s="18"/>
      <x:c r="O101" s="18"/>
      <x:c r="P101" s="18"/>
      <x:c r="Q101" s="18"/>
      <x:c r="R101" s="18"/>
      <x:c r="S101" s="18"/>
    </x:row>
    <x:row r="102" ht="30" customHeight="1">
      <x:c r="A102" s="22"/>
      <x:c r="B102" s="18"/>
      <x:c r="C102" s="18"/>
      <x:c r="D102" s="18"/>
      <x:c r="E102" s="18"/>
      <x:c r="F102" s="18"/>
      <x:c r="G102" s="18"/>
      <x:c r="H102" s="18"/>
      <x:c r="I102" s="18"/>
      <x:c r="J102" s="24"/>
      <x:c r="K102" s="24"/>
      <x:c r="L102" s="26"/>
      <x:c r="M102" s="28"/>
      <x:c r="N102" s="18"/>
      <x:c r="O102" s="18"/>
      <x:c r="P102" s="18"/>
      <x:c r="Q102" s="18"/>
      <x:c r="R102" s="18"/>
      <x:c r="S102" s="18"/>
    </x:row>
    <x:row r="103" ht="30" customHeight="1">
      <x:c r="A103" s="22"/>
      <x:c r="B103" s="18"/>
      <x:c r="C103" s="18"/>
      <x:c r="D103" s="18"/>
      <x:c r="E103" s="18"/>
      <x:c r="F103" s="18"/>
      <x:c r="G103" s="18"/>
      <x:c r="H103" s="18"/>
      <x:c r="I103" s="18"/>
      <x:c r="J103" s="24"/>
      <x:c r="K103" s="24"/>
      <x:c r="L103" s="26"/>
      <x:c r="M103" s="28"/>
      <x:c r="N103" s="18"/>
      <x:c r="O103" s="18"/>
      <x:c r="P103" s="18"/>
      <x:c r="Q103" s="18"/>
      <x:c r="R103" s="18"/>
      <x:c r="S103" s="18"/>
    </x:row>
    <x:row r="104" ht="30" customHeight="1">
      <x:c r="A104" s="22"/>
      <x:c r="B104" s="18"/>
      <x:c r="C104" s="18"/>
      <x:c r="D104" s="18"/>
      <x:c r="E104" s="18"/>
      <x:c r="F104" s="18"/>
      <x:c r="G104" s="18"/>
      <x:c r="H104" s="18"/>
      <x:c r="I104" s="18"/>
      <x:c r="J104" s="24"/>
      <x:c r="K104" s="24"/>
      <x:c r="L104" s="26"/>
      <x:c r="M104" s="28"/>
      <x:c r="N104" s="18"/>
      <x:c r="O104" s="18"/>
      <x:c r="P104" s="18"/>
      <x:c r="Q104" s="18"/>
      <x:c r="R104" s="18"/>
      <x:c r="S104" s="18"/>
    </x:row>
    <x:row r="105" ht="30" customHeight="1">
      <x:c r="A105" s="22"/>
      <x:c r="B105" s="18"/>
      <x:c r="C105" s="18"/>
      <x:c r="D105" s="18"/>
      <x:c r="E105" s="18"/>
      <x:c r="F105" s="18"/>
      <x:c r="G105" s="18"/>
      <x:c r="H105" s="18"/>
      <x:c r="I105" s="18"/>
      <x:c r="J105" s="24"/>
      <x:c r="K105" s="24"/>
      <x:c r="L105" s="26"/>
      <x:c r="M105" s="28"/>
      <x:c r="N105" s="18"/>
      <x:c r="O105" s="18"/>
      <x:c r="P105" s="18"/>
      <x:c r="Q105" s="18"/>
      <x:c r="R105" s="18"/>
      <x:c r="S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e34b694802cc4c7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18" hidden="0" customWidth="1"/>
    <x:col min="5" max="5" width="13" hidden="0" customWidth="1"/>
    <x:col min="6" max="6" width="18" hidden="0" customWidth="1"/>
    <x:col min="7" max="7" width="1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4" customHeight="1">
      <x:c r="A1" s="3" t="str">
        <x:v>GA4 LANDING DAILY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Session-scoped organic landing-page data. Do not sum users or average rates; no personal or medical data.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date</x:v>
      </x:c>
      <x:c r="B5" s="12" t="str">
        <x:v>url_id</x:v>
      </x:c>
      <x:c r="C5" s="12" t="str">
        <x:v>normalized_landing_url</x:v>
      </x:c>
      <x:c r="D5" s="12" t="str">
        <x:v>target_country</x:v>
      </x:c>
      <x:c r="E5" s="12" t="str">
        <x:v>language</x:v>
      </x:c>
      <x:c r="F5" s="12" t="str">
        <x:v>visitor_country</x:v>
      </x:c>
      <x:c r="G5" s="12" t="str">
        <x:v>device</x:v>
      </x:c>
      <x:c r="H5" s="12" t="str">
        <x:v>session_source_medium</x:v>
      </x:c>
      <x:c r="I5" s="12" t="str">
        <x:v>session_channel</x:v>
      </x:c>
      <x:c r="J5" s="12" t="str">
        <x:v>sessions</x:v>
      </x:c>
      <x:c r="K5" s="12" t="str">
        <x:v>engaged_sessions</x:v>
      </x:c>
      <x:c r="L5" s="12" t="str">
        <x:v>key_events</x:v>
      </x:c>
      <x:c r="M5" s="12" t="str">
        <x:v>booking_starts</x:v>
      </x:c>
      <x:c r="N5" s="12" t="str">
        <x:v>purchases</x:v>
      </x:c>
      <x:c r="O5" s="12" t="str">
        <x:v>purchase_revenue</x:v>
      </x:c>
      <x:c r="P5" s="12" t="str">
        <x:v>currency</x:v>
      </x:c>
      <x:c r="Q5" s="12" t="str">
        <x:v>total_users</x:v>
      </x:c>
      <x:c r="R5" s="12" t="str">
        <x:v>session_key_event_rate</x:v>
      </x:c>
      <x:c r="S5" s="12" t="str">
        <x:v>engagement_rate</x:v>
      </x:c>
      <x:c r="T5" s="12" t="str">
        <x:v>row_key</x:v>
      </x:c>
      <x:c r="U5" s="12" t="str">
        <x:v>refresh_id</x:v>
      </x:c>
      <x:c r="V5" s="12" t="str">
        <x:v>data_quality</x:v>
      </x:c>
      <x:c r="W5" s="12" t="str">
        <x:v>source</x:v>
      </x:c>
    </x:row>
    <x:row r="6" ht="30" customHeight="1">
      <x:c r="A6" s="22"/>
      <x:c r="B6" s="18"/>
      <x:c r="C6" s="18"/>
      <x:c r="D6" s="18"/>
      <x:c r="E6" s="18"/>
      <x:c r="F6" s="18"/>
      <x:c r="G6" s="18"/>
      <x:c r="H6" s="18"/>
      <x:c r="I6" s="18"/>
      <x:c r="J6" s="24"/>
      <x:c r="K6" s="24"/>
      <x:c r="L6" s="24"/>
      <x:c r="M6" s="24"/>
      <x:c r="N6" s="24"/>
      <x:c r="O6" s="18"/>
      <x:c r="P6" s="18"/>
      <x:c r="Q6" s="24"/>
      <x:c r="R6" s="28"/>
      <x:c r="S6" s="28" t="str">
        <x:f>IF(OR(A6="",J6=""),"",IFERROR(K6/J6,""))</x:f>
      </x:c>
      <x:c r="T6" s="18" t="str">
        <x:f>IF(A6="","",TEXT(A6,"yyyy-mm-dd")&amp;"|"&amp;C6&amp;"|"&amp;F6&amp;"|"&amp;G6&amp;"|"&amp;H6&amp;"|"&amp;I6&amp;"|"&amp;P6)</x:f>
      </x:c>
      <x:c r="U6" s="18"/>
      <x:c r="V6" s="18"/>
      <x:c r="W6" s="18"/>
    </x:row>
    <x:row r="7" ht="30" customHeight="1">
      <x:c r="A7" s="22"/>
      <x:c r="B7" s="18"/>
      <x:c r="C7" s="18"/>
      <x:c r="D7" s="18"/>
      <x:c r="E7" s="18"/>
      <x:c r="F7" s="18"/>
      <x:c r="G7" s="18"/>
      <x:c r="H7" s="18"/>
      <x:c r="I7" s="18"/>
      <x:c r="J7" s="24"/>
      <x:c r="K7" s="24"/>
      <x:c r="L7" s="24"/>
      <x:c r="M7" s="24"/>
      <x:c r="N7" s="24"/>
      <x:c r="O7" s="18"/>
      <x:c r="P7" s="18"/>
      <x:c r="Q7" s="24"/>
      <x:c r="R7" s="28"/>
      <x:c r="S7" s="28"/>
      <x:c r="T7" s="18"/>
      <x:c r="U7" s="18"/>
      <x:c r="V7" s="18"/>
      <x:c r="W7" s="18"/>
    </x:row>
    <x:row r="8" ht="30" customHeight="1">
      <x:c r="A8" s="22"/>
      <x:c r="B8" s="18"/>
      <x:c r="C8" s="18"/>
      <x:c r="D8" s="18"/>
      <x:c r="E8" s="18"/>
      <x:c r="F8" s="18"/>
      <x:c r="G8" s="18"/>
      <x:c r="H8" s="18"/>
      <x:c r="I8" s="18"/>
      <x:c r="J8" s="24"/>
      <x:c r="K8" s="24"/>
      <x:c r="L8" s="24"/>
      <x:c r="M8" s="24"/>
      <x:c r="N8" s="24"/>
      <x:c r="O8" s="18"/>
      <x:c r="P8" s="18"/>
      <x:c r="Q8" s="24"/>
      <x:c r="R8" s="28"/>
      <x:c r="S8" s="28"/>
      <x:c r="T8" s="18"/>
      <x:c r="U8" s="18"/>
      <x:c r="V8" s="18"/>
      <x:c r="W8" s="18"/>
    </x:row>
    <x:row r="9" ht="30" customHeight="1">
      <x:c r="A9" s="22"/>
      <x:c r="B9" s="18"/>
      <x:c r="C9" s="18"/>
      <x:c r="D9" s="18"/>
      <x:c r="E9" s="18"/>
      <x:c r="F9" s="18"/>
      <x:c r="G9" s="18"/>
      <x:c r="H9" s="18"/>
      <x:c r="I9" s="18"/>
      <x:c r="J9" s="24"/>
      <x:c r="K9" s="24"/>
      <x:c r="L9" s="24"/>
      <x:c r="M9" s="24"/>
      <x:c r="N9" s="24"/>
      <x:c r="O9" s="18"/>
      <x:c r="P9" s="18"/>
      <x:c r="Q9" s="24"/>
      <x:c r="R9" s="28"/>
      <x:c r="S9" s="28"/>
      <x:c r="T9" s="18"/>
      <x:c r="U9" s="18"/>
      <x:c r="V9" s="18"/>
      <x:c r="W9" s="18"/>
    </x:row>
    <x:row r="10" ht="30" customHeight="1">
      <x:c r="A10" s="22"/>
      <x:c r="B10" s="18"/>
      <x:c r="C10" s="18"/>
      <x:c r="D10" s="18"/>
      <x:c r="E10" s="18"/>
      <x:c r="F10" s="18"/>
      <x:c r="G10" s="18"/>
      <x:c r="H10" s="18"/>
      <x:c r="I10" s="18"/>
      <x:c r="J10" s="24"/>
      <x:c r="K10" s="24"/>
      <x:c r="L10" s="24"/>
      <x:c r="M10" s="24"/>
      <x:c r="N10" s="24"/>
      <x:c r="O10" s="18"/>
      <x:c r="P10" s="18"/>
      <x:c r="Q10" s="24"/>
      <x:c r="R10" s="28"/>
      <x:c r="S10" s="28"/>
      <x:c r="T10" s="18"/>
      <x:c r="U10" s="18"/>
      <x:c r="V10" s="18"/>
      <x:c r="W10" s="18"/>
    </x:row>
    <x:row r="11" ht="30" customHeight="1">
      <x:c r="A11" s="22"/>
      <x:c r="B11" s="18"/>
      <x:c r="C11" s="18"/>
      <x:c r="D11" s="18"/>
      <x:c r="E11" s="18"/>
      <x:c r="F11" s="18"/>
      <x:c r="G11" s="18"/>
      <x:c r="H11" s="18"/>
      <x:c r="I11" s="18"/>
      <x:c r="J11" s="24"/>
      <x:c r="K11" s="24"/>
      <x:c r="L11" s="24"/>
      <x:c r="M11" s="24"/>
      <x:c r="N11" s="24"/>
      <x:c r="O11" s="18"/>
      <x:c r="P11" s="18"/>
      <x:c r="Q11" s="24"/>
      <x:c r="R11" s="28"/>
      <x:c r="S11" s="28"/>
      <x:c r="T11" s="18"/>
      <x:c r="U11" s="18"/>
      <x:c r="V11" s="18"/>
      <x:c r="W11" s="18"/>
    </x:row>
    <x:row r="12" ht="30" customHeight="1">
      <x:c r="A12" s="22"/>
      <x:c r="B12" s="18"/>
      <x:c r="C12" s="18"/>
      <x:c r="D12" s="18"/>
      <x:c r="E12" s="18"/>
      <x:c r="F12" s="18"/>
      <x:c r="G12" s="18"/>
      <x:c r="H12" s="18"/>
      <x:c r="I12" s="18"/>
      <x:c r="J12" s="24"/>
      <x:c r="K12" s="24"/>
      <x:c r="L12" s="24"/>
      <x:c r="M12" s="24"/>
      <x:c r="N12" s="24"/>
      <x:c r="O12" s="18"/>
      <x:c r="P12" s="18"/>
      <x:c r="Q12" s="24"/>
      <x:c r="R12" s="28"/>
      <x:c r="S12" s="28"/>
      <x:c r="T12" s="18"/>
      <x:c r="U12" s="18"/>
      <x:c r="V12" s="18"/>
      <x:c r="W12" s="18"/>
    </x:row>
    <x:row r="13" ht="30" customHeight="1">
      <x:c r="A13" s="22"/>
      <x:c r="B13" s="18"/>
      <x:c r="C13" s="18"/>
      <x:c r="D13" s="18"/>
      <x:c r="E13" s="18"/>
      <x:c r="F13" s="18"/>
      <x:c r="G13" s="18"/>
      <x:c r="H13" s="18"/>
      <x:c r="I13" s="18"/>
      <x:c r="J13" s="24"/>
      <x:c r="K13" s="24"/>
      <x:c r="L13" s="24"/>
      <x:c r="M13" s="24"/>
      <x:c r="N13" s="24"/>
      <x:c r="O13" s="18"/>
      <x:c r="P13" s="18"/>
      <x:c r="Q13" s="24"/>
      <x:c r="R13" s="28"/>
      <x:c r="S13" s="28"/>
      <x:c r="T13" s="18"/>
      <x:c r="U13" s="18"/>
      <x:c r="V13" s="18"/>
      <x:c r="W13" s="18"/>
    </x:row>
    <x:row r="14" ht="30" customHeight="1">
      <x:c r="A14" s="22"/>
      <x:c r="B14" s="18"/>
      <x:c r="C14" s="18"/>
      <x:c r="D14" s="18"/>
      <x:c r="E14" s="18"/>
      <x:c r="F14" s="18"/>
      <x:c r="G14" s="18"/>
      <x:c r="H14" s="18"/>
      <x:c r="I14" s="18"/>
      <x:c r="J14" s="24"/>
      <x:c r="K14" s="24"/>
      <x:c r="L14" s="24"/>
      <x:c r="M14" s="24"/>
      <x:c r="N14" s="24"/>
      <x:c r="O14" s="18"/>
      <x:c r="P14" s="18"/>
      <x:c r="Q14" s="24"/>
      <x:c r="R14" s="28"/>
      <x:c r="S14" s="28"/>
      <x:c r="T14" s="18"/>
      <x:c r="U14" s="18"/>
      <x:c r="V14" s="18"/>
      <x:c r="W14" s="18"/>
    </x:row>
    <x:row r="15" ht="30" customHeight="1">
      <x:c r="A15" s="22"/>
      <x:c r="B15" s="18"/>
      <x:c r="C15" s="18"/>
      <x:c r="D15" s="18"/>
      <x:c r="E15" s="18"/>
      <x:c r="F15" s="18"/>
      <x:c r="G15" s="18"/>
      <x:c r="H15" s="18"/>
      <x:c r="I15" s="18"/>
      <x:c r="J15" s="24"/>
      <x:c r="K15" s="24"/>
      <x:c r="L15" s="24"/>
      <x:c r="M15" s="24"/>
      <x:c r="N15" s="24"/>
      <x:c r="O15" s="18"/>
      <x:c r="P15" s="18"/>
      <x:c r="Q15" s="24"/>
      <x:c r="R15" s="28"/>
      <x:c r="S15" s="28"/>
      <x:c r="T15" s="18"/>
      <x:c r="U15" s="18"/>
      <x:c r="V15" s="18"/>
      <x:c r="W15" s="18"/>
    </x:row>
    <x:row r="16" ht="30" customHeight="1">
      <x:c r="A16" s="22"/>
      <x:c r="B16" s="18"/>
      <x:c r="C16" s="18"/>
      <x:c r="D16" s="18"/>
      <x:c r="E16" s="18"/>
      <x:c r="F16" s="18"/>
      <x:c r="G16" s="18"/>
      <x:c r="H16" s="18"/>
      <x:c r="I16" s="18"/>
      <x:c r="J16" s="24"/>
      <x:c r="K16" s="24"/>
      <x:c r="L16" s="24"/>
      <x:c r="M16" s="24"/>
      <x:c r="N16" s="24"/>
      <x:c r="O16" s="18"/>
      <x:c r="P16" s="18"/>
      <x:c r="Q16" s="24"/>
      <x:c r="R16" s="28"/>
      <x:c r="S16" s="28"/>
      <x:c r="T16" s="18"/>
      <x:c r="U16" s="18"/>
      <x:c r="V16" s="18"/>
      <x:c r="W16" s="18"/>
    </x:row>
    <x:row r="17" ht="30" customHeight="1">
      <x:c r="A17" s="22"/>
      <x:c r="B17" s="18"/>
      <x:c r="C17" s="18"/>
      <x:c r="D17" s="18"/>
      <x:c r="E17" s="18"/>
      <x:c r="F17" s="18"/>
      <x:c r="G17" s="18"/>
      <x:c r="H17" s="18"/>
      <x:c r="I17" s="18"/>
      <x:c r="J17" s="24"/>
      <x:c r="K17" s="24"/>
      <x:c r="L17" s="24"/>
      <x:c r="M17" s="24"/>
      <x:c r="N17" s="24"/>
      <x:c r="O17" s="18"/>
      <x:c r="P17" s="18"/>
      <x:c r="Q17" s="24"/>
      <x:c r="R17" s="28"/>
      <x:c r="S17" s="28"/>
      <x:c r="T17" s="18"/>
      <x:c r="U17" s="18"/>
      <x:c r="V17" s="18"/>
      <x:c r="W17" s="18"/>
    </x:row>
    <x:row r="18" ht="30" customHeight="1">
      <x:c r="A18" s="22"/>
      <x:c r="B18" s="18"/>
      <x:c r="C18" s="18"/>
      <x:c r="D18" s="18"/>
      <x:c r="E18" s="18"/>
      <x:c r="F18" s="18"/>
      <x:c r="G18" s="18"/>
      <x:c r="H18" s="18"/>
      <x:c r="I18" s="18"/>
      <x:c r="J18" s="24"/>
      <x:c r="K18" s="24"/>
      <x:c r="L18" s="24"/>
      <x:c r="M18" s="24"/>
      <x:c r="N18" s="24"/>
      <x:c r="O18" s="18"/>
      <x:c r="P18" s="18"/>
      <x:c r="Q18" s="24"/>
      <x:c r="R18" s="28"/>
      <x:c r="S18" s="28"/>
      <x:c r="T18" s="18"/>
      <x:c r="U18" s="18"/>
      <x:c r="V18" s="18"/>
      <x:c r="W18" s="18"/>
    </x:row>
    <x:row r="19" ht="30" customHeight="1">
      <x:c r="A19" s="22"/>
      <x:c r="B19" s="18"/>
      <x:c r="C19" s="18"/>
      <x:c r="D19" s="18"/>
      <x:c r="E19" s="18"/>
      <x:c r="F19" s="18"/>
      <x:c r="G19" s="18"/>
      <x:c r="H19" s="18"/>
      <x:c r="I19" s="18"/>
      <x:c r="J19" s="24"/>
      <x:c r="K19" s="24"/>
      <x:c r="L19" s="24"/>
      <x:c r="M19" s="24"/>
      <x:c r="N19" s="24"/>
      <x:c r="O19" s="18"/>
      <x:c r="P19" s="18"/>
      <x:c r="Q19" s="24"/>
      <x:c r="R19" s="28"/>
      <x:c r="S19" s="28"/>
      <x:c r="T19" s="18"/>
      <x:c r="U19" s="18"/>
      <x:c r="V19" s="18"/>
      <x:c r="W19" s="18"/>
    </x:row>
    <x:row r="20" ht="30" customHeight="1">
      <x:c r="A20" s="22"/>
      <x:c r="B20" s="18"/>
      <x:c r="C20" s="18"/>
      <x:c r="D20" s="18"/>
      <x:c r="E20" s="18"/>
      <x:c r="F20" s="18"/>
      <x:c r="G20" s="18"/>
      <x:c r="H20" s="18"/>
      <x:c r="I20" s="18"/>
      <x:c r="J20" s="24"/>
      <x:c r="K20" s="24"/>
      <x:c r="L20" s="24"/>
      <x:c r="M20" s="24"/>
      <x:c r="N20" s="24"/>
      <x:c r="O20" s="18"/>
      <x:c r="P20" s="18"/>
      <x:c r="Q20" s="24"/>
      <x:c r="R20" s="28"/>
      <x:c r="S20" s="28"/>
      <x:c r="T20" s="18"/>
      <x:c r="U20" s="18"/>
      <x:c r="V20" s="18"/>
      <x:c r="W20" s="18"/>
    </x:row>
    <x:row r="21" ht="30" customHeight="1">
      <x:c r="A21" s="22"/>
      <x:c r="B21" s="18"/>
      <x:c r="C21" s="18"/>
      <x:c r="D21" s="18"/>
      <x:c r="E21" s="18"/>
      <x:c r="F21" s="18"/>
      <x:c r="G21" s="18"/>
      <x:c r="H21" s="18"/>
      <x:c r="I21" s="18"/>
      <x:c r="J21" s="24"/>
      <x:c r="K21" s="24"/>
      <x:c r="L21" s="24"/>
      <x:c r="M21" s="24"/>
      <x:c r="N21" s="24"/>
      <x:c r="O21" s="18"/>
      <x:c r="P21" s="18"/>
      <x:c r="Q21" s="24"/>
      <x:c r="R21" s="28"/>
      <x:c r="S21" s="28"/>
      <x:c r="T21" s="18"/>
      <x:c r="U21" s="18"/>
      <x:c r="V21" s="18"/>
      <x:c r="W21" s="18"/>
    </x:row>
    <x:row r="22" ht="30" customHeight="1">
      <x:c r="A22" s="22"/>
      <x:c r="B22" s="18"/>
      <x:c r="C22" s="18"/>
      <x:c r="D22" s="18"/>
      <x:c r="E22" s="18"/>
      <x:c r="F22" s="18"/>
      <x:c r="G22" s="18"/>
      <x:c r="H22" s="18"/>
      <x:c r="I22" s="18"/>
      <x:c r="J22" s="24"/>
      <x:c r="K22" s="24"/>
      <x:c r="L22" s="24"/>
      <x:c r="M22" s="24"/>
      <x:c r="N22" s="24"/>
      <x:c r="O22" s="18"/>
      <x:c r="P22" s="18"/>
      <x:c r="Q22" s="24"/>
      <x:c r="R22" s="28"/>
      <x:c r="S22" s="28"/>
      <x:c r="T22" s="18"/>
      <x:c r="U22" s="18"/>
      <x:c r="V22" s="18"/>
      <x:c r="W22" s="18"/>
    </x:row>
    <x:row r="23" ht="30" customHeight="1">
      <x:c r="A23" s="22"/>
      <x:c r="B23" s="18"/>
      <x:c r="C23" s="18"/>
      <x:c r="D23" s="18"/>
      <x:c r="E23" s="18"/>
      <x:c r="F23" s="18"/>
      <x:c r="G23" s="18"/>
      <x:c r="H23" s="18"/>
      <x:c r="I23" s="18"/>
      <x:c r="J23" s="24"/>
      <x:c r="K23" s="24"/>
      <x:c r="L23" s="24"/>
      <x:c r="M23" s="24"/>
      <x:c r="N23" s="24"/>
      <x:c r="O23" s="18"/>
      <x:c r="P23" s="18"/>
      <x:c r="Q23" s="24"/>
      <x:c r="R23" s="28"/>
      <x:c r="S23" s="28"/>
      <x:c r="T23" s="18"/>
      <x:c r="U23" s="18"/>
      <x:c r="V23" s="18"/>
      <x:c r="W23" s="18"/>
    </x:row>
    <x:row r="24" ht="30" customHeight="1">
      <x:c r="A24" s="22"/>
      <x:c r="B24" s="18"/>
      <x:c r="C24" s="18"/>
      <x:c r="D24" s="18"/>
      <x:c r="E24" s="18"/>
      <x:c r="F24" s="18"/>
      <x:c r="G24" s="18"/>
      <x:c r="H24" s="18"/>
      <x:c r="I24" s="18"/>
      <x:c r="J24" s="24"/>
      <x:c r="K24" s="24"/>
      <x:c r="L24" s="24"/>
      <x:c r="M24" s="24"/>
      <x:c r="N24" s="24"/>
      <x:c r="O24" s="18"/>
      <x:c r="P24" s="18"/>
      <x:c r="Q24" s="24"/>
      <x:c r="R24" s="28"/>
      <x:c r="S24" s="28"/>
      <x:c r="T24" s="18"/>
      <x:c r="U24" s="18"/>
      <x:c r="V24" s="18"/>
      <x:c r="W24" s="18"/>
    </x:row>
    <x:row r="25" ht="30" customHeight="1">
      <x:c r="A25" s="22"/>
      <x:c r="B25" s="18"/>
      <x:c r="C25" s="18"/>
      <x:c r="D25" s="18"/>
      <x:c r="E25" s="18"/>
      <x:c r="F25" s="18"/>
      <x:c r="G25" s="18"/>
      <x:c r="H25" s="18"/>
      <x:c r="I25" s="18"/>
      <x:c r="J25" s="24"/>
      <x:c r="K25" s="24"/>
      <x:c r="L25" s="24"/>
      <x:c r="M25" s="24"/>
      <x:c r="N25" s="24"/>
      <x:c r="O25" s="18"/>
      <x:c r="P25" s="18"/>
      <x:c r="Q25" s="24"/>
      <x:c r="R25" s="28"/>
      <x:c r="S25" s="28"/>
      <x:c r="T25" s="18"/>
      <x:c r="U25" s="18"/>
      <x:c r="V25" s="18"/>
      <x:c r="W25" s="18"/>
    </x:row>
    <x:row r="26" ht="30" customHeight="1">
      <x:c r="A26" s="22"/>
      <x:c r="B26" s="18"/>
      <x:c r="C26" s="18"/>
      <x:c r="D26" s="18"/>
      <x:c r="E26" s="18"/>
      <x:c r="F26" s="18"/>
      <x:c r="G26" s="18"/>
      <x:c r="H26" s="18"/>
      <x:c r="I26" s="18"/>
      <x:c r="J26" s="24"/>
      <x:c r="K26" s="24"/>
      <x:c r="L26" s="24"/>
      <x:c r="M26" s="24"/>
      <x:c r="N26" s="24"/>
      <x:c r="O26" s="18"/>
      <x:c r="P26" s="18"/>
      <x:c r="Q26" s="24"/>
      <x:c r="R26" s="28"/>
      <x:c r="S26" s="28"/>
      <x:c r="T26" s="18"/>
      <x:c r="U26" s="18"/>
      <x:c r="V26" s="18"/>
      <x:c r="W26" s="18"/>
    </x:row>
    <x:row r="27" ht="30" customHeight="1">
      <x:c r="A27" s="22"/>
      <x:c r="B27" s="18"/>
      <x:c r="C27" s="18"/>
      <x:c r="D27" s="18"/>
      <x:c r="E27" s="18"/>
      <x:c r="F27" s="18"/>
      <x:c r="G27" s="18"/>
      <x:c r="H27" s="18"/>
      <x:c r="I27" s="18"/>
      <x:c r="J27" s="24"/>
      <x:c r="K27" s="24"/>
      <x:c r="L27" s="24"/>
      <x:c r="M27" s="24"/>
      <x:c r="N27" s="24"/>
      <x:c r="O27" s="18"/>
      <x:c r="P27" s="18"/>
      <x:c r="Q27" s="24"/>
      <x:c r="R27" s="28"/>
      <x:c r="S27" s="28"/>
      <x:c r="T27" s="18"/>
      <x:c r="U27" s="18"/>
      <x:c r="V27" s="18"/>
      <x:c r="W27" s="18"/>
    </x:row>
    <x:row r="28" ht="30" customHeight="1">
      <x:c r="A28" s="22"/>
      <x:c r="B28" s="18"/>
      <x:c r="C28" s="18"/>
      <x:c r="D28" s="18"/>
      <x:c r="E28" s="18"/>
      <x:c r="F28" s="18"/>
      <x:c r="G28" s="18"/>
      <x:c r="H28" s="18"/>
      <x:c r="I28" s="18"/>
      <x:c r="J28" s="24"/>
      <x:c r="K28" s="24"/>
      <x:c r="L28" s="24"/>
      <x:c r="M28" s="24"/>
      <x:c r="N28" s="24"/>
      <x:c r="O28" s="18"/>
      <x:c r="P28" s="18"/>
      <x:c r="Q28" s="24"/>
      <x:c r="R28" s="28"/>
      <x:c r="S28" s="28"/>
      <x:c r="T28" s="18"/>
      <x:c r="U28" s="18"/>
      <x:c r="V28" s="18"/>
      <x:c r="W28" s="18"/>
    </x:row>
    <x:row r="29" ht="30" customHeight="1">
      <x:c r="A29" s="22"/>
      <x:c r="B29" s="18"/>
      <x:c r="C29" s="18"/>
      <x:c r="D29" s="18"/>
      <x:c r="E29" s="18"/>
      <x:c r="F29" s="18"/>
      <x:c r="G29" s="18"/>
      <x:c r="H29" s="18"/>
      <x:c r="I29" s="18"/>
      <x:c r="J29" s="24"/>
      <x:c r="K29" s="24"/>
      <x:c r="L29" s="24"/>
      <x:c r="M29" s="24"/>
      <x:c r="N29" s="24"/>
      <x:c r="O29" s="18"/>
      <x:c r="P29" s="18"/>
      <x:c r="Q29" s="24"/>
      <x:c r="R29" s="28"/>
      <x:c r="S29" s="28"/>
      <x:c r="T29" s="18"/>
      <x:c r="U29" s="18"/>
      <x:c r="V29" s="18"/>
      <x:c r="W29" s="18"/>
    </x:row>
    <x:row r="30" ht="30" customHeight="1">
      <x:c r="A30" s="22"/>
      <x:c r="B30" s="18"/>
      <x:c r="C30" s="18"/>
      <x:c r="D30" s="18"/>
      <x:c r="E30" s="18"/>
      <x:c r="F30" s="18"/>
      <x:c r="G30" s="18"/>
      <x:c r="H30" s="18"/>
      <x:c r="I30" s="18"/>
      <x:c r="J30" s="24"/>
      <x:c r="K30" s="24"/>
      <x:c r="L30" s="24"/>
      <x:c r="M30" s="24"/>
      <x:c r="N30" s="24"/>
      <x:c r="O30" s="18"/>
      <x:c r="P30" s="18"/>
      <x:c r="Q30" s="24"/>
      <x:c r="R30" s="28"/>
      <x:c r="S30" s="28"/>
      <x:c r="T30" s="18"/>
      <x:c r="U30" s="18"/>
      <x:c r="V30" s="18"/>
      <x:c r="W30" s="18"/>
    </x:row>
    <x:row r="31" ht="30" customHeight="1">
      <x:c r="A31" s="22"/>
      <x:c r="B31" s="18"/>
      <x:c r="C31" s="18"/>
      <x:c r="D31" s="18"/>
      <x:c r="E31" s="18"/>
      <x:c r="F31" s="18"/>
      <x:c r="G31" s="18"/>
      <x:c r="H31" s="18"/>
      <x:c r="I31" s="18"/>
      <x:c r="J31" s="24"/>
      <x:c r="K31" s="24"/>
      <x:c r="L31" s="24"/>
      <x:c r="M31" s="24"/>
      <x:c r="N31" s="24"/>
      <x:c r="O31" s="18"/>
      <x:c r="P31" s="18"/>
      <x:c r="Q31" s="24"/>
      <x:c r="R31" s="28"/>
      <x:c r="S31" s="28"/>
      <x:c r="T31" s="18"/>
      <x:c r="U31" s="18"/>
      <x:c r="V31" s="18"/>
      <x:c r="W31" s="18"/>
    </x:row>
    <x:row r="32" ht="30" customHeight="1">
      <x:c r="A32" s="22"/>
      <x:c r="B32" s="18"/>
      <x:c r="C32" s="18"/>
      <x:c r="D32" s="18"/>
      <x:c r="E32" s="18"/>
      <x:c r="F32" s="18"/>
      <x:c r="G32" s="18"/>
      <x:c r="H32" s="18"/>
      <x:c r="I32" s="18"/>
      <x:c r="J32" s="24"/>
      <x:c r="K32" s="24"/>
      <x:c r="L32" s="24"/>
      <x:c r="M32" s="24"/>
      <x:c r="N32" s="24"/>
      <x:c r="O32" s="18"/>
      <x:c r="P32" s="18"/>
      <x:c r="Q32" s="24"/>
      <x:c r="R32" s="28"/>
      <x:c r="S32" s="28"/>
      <x:c r="T32" s="18"/>
      <x:c r="U32" s="18"/>
      <x:c r="V32" s="18"/>
      <x:c r="W32" s="18"/>
    </x:row>
    <x:row r="33" ht="30" customHeight="1">
      <x:c r="A33" s="22"/>
      <x:c r="B33" s="18"/>
      <x:c r="C33" s="18"/>
      <x:c r="D33" s="18"/>
      <x:c r="E33" s="18"/>
      <x:c r="F33" s="18"/>
      <x:c r="G33" s="18"/>
      <x:c r="H33" s="18"/>
      <x:c r="I33" s="18"/>
      <x:c r="J33" s="24"/>
      <x:c r="K33" s="24"/>
      <x:c r="L33" s="24"/>
      <x:c r="M33" s="24"/>
      <x:c r="N33" s="24"/>
      <x:c r="O33" s="18"/>
      <x:c r="P33" s="18"/>
      <x:c r="Q33" s="24"/>
      <x:c r="R33" s="28"/>
      <x:c r="S33" s="28"/>
      <x:c r="T33" s="18"/>
      <x:c r="U33" s="18"/>
      <x:c r="V33" s="18"/>
      <x:c r="W33" s="18"/>
    </x:row>
    <x:row r="34" ht="30" customHeight="1">
      <x:c r="A34" s="22"/>
      <x:c r="B34" s="18"/>
      <x:c r="C34" s="18"/>
      <x:c r="D34" s="18"/>
      <x:c r="E34" s="18"/>
      <x:c r="F34" s="18"/>
      <x:c r="G34" s="18"/>
      <x:c r="H34" s="18"/>
      <x:c r="I34" s="18"/>
      <x:c r="J34" s="24"/>
      <x:c r="K34" s="24"/>
      <x:c r="L34" s="24"/>
      <x:c r="M34" s="24"/>
      <x:c r="N34" s="24"/>
      <x:c r="O34" s="18"/>
      <x:c r="P34" s="18"/>
      <x:c r="Q34" s="24"/>
      <x:c r="R34" s="28"/>
      <x:c r="S34" s="28"/>
      <x:c r="T34" s="18"/>
      <x:c r="U34" s="18"/>
      <x:c r="V34" s="18"/>
      <x:c r="W34" s="18"/>
    </x:row>
    <x:row r="35" ht="30" customHeight="1">
      <x:c r="A35" s="22"/>
      <x:c r="B35" s="18"/>
      <x:c r="C35" s="18"/>
      <x:c r="D35" s="18"/>
      <x:c r="E35" s="18"/>
      <x:c r="F35" s="18"/>
      <x:c r="G35" s="18"/>
      <x:c r="H35" s="18"/>
      <x:c r="I35" s="18"/>
      <x:c r="J35" s="24"/>
      <x:c r="K35" s="24"/>
      <x:c r="L35" s="24"/>
      <x:c r="M35" s="24"/>
      <x:c r="N35" s="24"/>
      <x:c r="O35" s="18"/>
      <x:c r="P35" s="18"/>
      <x:c r="Q35" s="24"/>
      <x:c r="R35" s="28"/>
      <x:c r="S35" s="28"/>
      <x:c r="T35" s="18"/>
      <x:c r="U35" s="18"/>
      <x:c r="V35" s="18"/>
      <x:c r="W35" s="18"/>
    </x:row>
    <x:row r="36" ht="30" customHeight="1">
      <x:c r="A36" s="22"/>
      <x:c r="B36" s="18"/>
      <x:c r="C36" s="18"/>
      <x:c r="D36" s="18"/>
      <x:c r="E36" s="18"/>
      <x:c r="F36" s="18"/>
      <x:c r="G36" s="18"/>
      <x:c r="H36" s="18"/>
      <x:c r="I36" s="18"/>
      <x:c r="J36" s="24"/>
      <x:c r="K36" s="24"/>
      <x:c r="L36" s="24"/>
      <x:c r="M36" s="24"/>
      <x:c r="N36" s="24"/>
      <x:c r="O36" s="18"/>
      <x:c r="P36" s="18"/>
      <x:c r="Q36" s="24"/>
      <x:c r="R36" s="28"/>
      <x:c r="S36" s="28"/>
      <x:c r="T36" s="18"/>
      <x:c r="U36" s="18"/>
      <x:c r="V36" s="18"/>
      <x:c r="W36" s="18"/>
    </x:row>
    <x:row r="37" ht="30" customHeight="1">
      <x:c r="A37" s="22"/>
      <x:c r="B37" s="18"/>
      <x:c r="C37" s="18"/>
      <x:c r="D37" s="18"/>
      <x:c r="E37" s="18"/>
      <x:c r="F37" s="18"/>
      <x:c r="G37" s="18"/>
      <x:c r="H37" s="18"/>
      <x:c r="I37" s="18"/>
      <x:c r="J37" s="24"/>
      <x:c r="K37" s="24"/>
      <x:c r="L37" s="24"/>
      <x:c r="M37" s="24"/>
      <x:c r="N37" s="24"/>
      <x:c r="O37" s="18"/>
      <x:c r="P37" s="18"/>
      <x:c r="Q37" s="24"/>
      <x:c r="R37" s="28"/>
      <x:c r="S37" s="28"/>
      <x:c r="T37" s="18"/>
      <x:c r="U37" s="18"/>
      <x:c r="V37" s="18"/>
      <x:c r="W37" s="18"/>
    </x:row>
    <x:row r="38" ht="30" customHeight="1">
      <x:c r="A38" s="22"/>
      <x:c r="B38" s="18"/>
      <x:c r="C38" s="18"/>
      <x:c r="D38" s="18"/>
      <x:c r="E38" s="18"/>
      <x:c r="F38" s="18"/>
      <x:c r="G38" s="18"/>
      <x:c r="H38" s="18"/>
      <x:c r="I38" s="18"/>
      <x:c r="J38" s="24"/>
      <x:c r="K38" s="24"/>
      <x:c r="L38" s="24"/>
      <x:c r="M38" s="24"/>
      <x:c r="N38" s="24"/>
      <x:c r="O38" s="18"/>
      <x:c r="P38" s="18"/>
      <x:c r="Q38" s="24"/>
      <x:c r="R38" s="28"/>
      <x:c r="S38" s="28"/>
      <x:c r="T38" s="18"/>
      <x:c r="U38" s="18"/>
      <x:c r="V38" s="18"/>
      <x:c r="W38" s="18"/>
    </x:row>
    <x:row r="39" ht="30" customHeight="1">
      <x:c r="A39" s="22"/>
      <x:c r="B39" s="18"/>
      <x:c r="C39" s="18"/>
      <x:c r="D39" s="18"/>
      <x:c r="E39" s="18"/>
      <x:c r="F39" s="18"/>
      <x:c r="G39" s="18"/>
      <x:c r="H39" s="18"/>
      <x:c r="I39" s="18"/>
      <x:c r="J39" s="24"/>
      <x:c r="K39" s="24"/>
      <x:c r="L39" s="24"/>
      <x:c r="M39" s="24"/>
      <x:c r="N39" s="24"/>
      <x:c r="O39" s="18"/>
      <x:c r="P39" s="18"/>
      <x:c r="Q39" s="24"/>
      <x:c r="R39" s="28"/>
      <x:c r="S39" s="28"/>
      <x:c r="T39" s="18"/>
      <x:c r="U39" s="18"/>
      <x:c r="V39" s="18"/>
      <x:c r="W39" s="18"/>
    </x:row>
    <x:row r="40" ht="30" customHeight="1">
      <x:c r="A40" s="22"/>
      <x:c r="B40" s="18"/>
      <x:c r="C40" s="18"/>
      <x:c r="D40" s="18"/>
      <x:c r="E40" s="18"/>
      <x:c r="F40" s="18"/>
      <x:c r="G40" s="18"/>
      <x:c r="H40" s="18"/>
      <x:c r="I40" s="18"/>
      <x:c r="J40" s="24"/>
      <x:c r="K40" s="24"/>
      <x:c r="L40" s="24"/>
      <x:c r="M40" s="24"/>
      <x:c r="N40" s="24"/>
      <x:c r="O40" s="18"/>
      <x:c r="P40" s="18"/>
      <x:c r="Q40" s="24"/>
      <x:c r="R40" s="28"/>
      <x:c r="S40" s="28"/>
      <x:c r="T40" s="18"/>
      <x:c r="U40" s="18"/>
      <x:c r="V40" s="18"/>
      <x:c r="W40" s="18"/>
    </x:row>
    <x:row r="41" ht="30" customHeight="1">
      <x:c r="A41" s="22"/>
      <x:c r="B41" s="18"/>
      <x:c r="C41" s="18"/>
      <x:c r="D41" s="18"/>
      <x:c r="E41" s="18"/>
      <x:c r="F41" s="18"/>
      <x:c r="G41" s="18"/>
      <x:c r="H41" s="18"/>
      <x:c r="I41" s="18"/>
      <x:c r="J41" s="24"/>
      <x:c r="K41" s="24"/>
      <x:c r="L41" s="24"/>
      <x:c r="M41" s="24"/>
      <x:c r="N41" s="24"/>
      <x:c r="O41" s="18"/>
      <x:c r="P41" s="18"/>
      <x:c r="Q41" s="24"/>
      <x:c r="R41" s="28"/>
      <x:c r="S41" s="28"/>
      <x:c r="T41" s="18"/>
      <x:c r="U41" s="18"/>
      <x:c r="V41" s="18"/>
      <x:c r="W41" s="18"/>
    </x:row>
    <x:row r="42" ht="30" customHeight="1">
      <x:c r="A42" s="22"/>
      <x:c r="B42" s="18"/>
      <x:c r="C42" s="18"/>
      <x:c r="D42" s="18"/>
      <x:c r="E42" s="18"/>
      <x:c r="F42" s="18"/>
      <x:c r="G42" s="18"/>
      <x:c r="H42" s="18"/>
      <x:c r="I42" s="18"/>
      <x:c r="J42" s="24"/>
      <x:c r="K42" s="24"/>
      <x:c r="L42" s="24"/>
      <x:c r="M42" s="24"/>
      <x:c r="N42" s="24"/>
      <x:c r="O42" s="18"/>
      <x:c r="P42" s="18"/>
      <x:c r="Q42" s="24"/>
      <x:c r="R42" s="28"/>
      <x:c r="S42" s="28"/>
      <x:c r="T42" s="18"/>
      <x:c r="U42" s="18"/>
      <x:c r="V42" s="18"/>
      <x:c r="W42" s="18"/>
    </x:row>
    <x:row r="43" ht="30" customHeight="1">
      <x:c r="A43" s="22"/>
      <x:c r="B43" s="18"/>
      <x:c r="C43" s="18"/>
      <x:c r="D43" s="18"/>
      <x:c r="E43" s="18"/>
      <x:c r="F43" s="18"/>
      <x:c r="G43" s="18"/>
      <x:c r="H43" s="18"/>
      <x:c r="I43" s="18"/>
      <x:c r="J43" s="24"/>
      <x:c r="K43" s="24"/>
      <x:c r="L43" s="24"/>
      <x:c r="M43" s="24"/>
      <x:c r="N43" s="24"/>
      <x:c r="O43" s="18"/>
      <x:c r="P43" s="18"/>
      <x:c r="Q43" s="24"/>
      <x:c r="R43" s="28"/>
      <x:c r="S43" s="28"/>
      <x:c r="T43" s="18"/>
      <x:c r="U43" s="18"/>
      <x:c r="V43" s="18"/>
      <x:c r="W43" s="18"/>
    </x:row>
    <x:row r="44" ht="30" customHeight="1">
      <x:c r="A44" s="22"/>
      <x:c r="B44" s="18"/>
      <x:c r="C44" s="18"/>
      <x:c r="D44" s="18"/>
      <x:c r="E44" s="18"/>
      <x:c r="F44" s="18"/>
      <x:c r="G44" s="18"/>
      <x:c r="H44" s="18"/>
      <x:c r="I44" s="18"/>
      <x:c r="J44" s="24"/>
      <x:c r="K44" s="24"/>
      <x:c r="L44" s="24"/>
      <x:c r="M44" s="24"/>
      <x:c r="N44" s="24"/>
      <x:c r="O44" s="18"/>
      <x:c r="P44" s="18"/>
      <x:c r="Q44" s="24"/>
      <x:c r="R44" s="28"/>
      <x:c r="S44" s="28"/>
      <x:c r="T44" s="18"/>
      <x:c r="U44" s="18"/>
      <x:c r="V44" s="18"/>
      <x:c r="W44" s="18"/>
    </x:row>
    <x:row r="45" ht="30" customHeight="1">
      <x:c r="A45" s="22"/>
      <x:c r="B45" s="18"/>
      <x:c r="C45" s="18"/>
      <x:c r="D45" s="18"/>
      <x:c r="E45" s="18"/>
      <x:c r="F45" s="18"/>
      <x:c r="G45" s="18"/>
      <x:c r="H45" s="18"/>
      <x:c r="I45" s="18"/>
      <x:c r="J45" s="24"/>
      <x:c r="K45" s="24"/>
      <x:c r="L45" s="24"/>
      <x:c r="M45" s="24"/>
      <x:c r="N45" s="24"/>
      <x:c r="O45" s="18"/>
      <x:c r="P45" s="18"/>
      <x:c r="Q45" s="24"/>
      <x:c r="R45" s="28"/>
      <x:c r="S45" s="28"/>
      <x:c r="T45" s="18"/>
      <x:c r="U45" s="18"/>
      <x:c r="V45" s="18"/>
      <x:c r="W45" s="18"/>
    </x:row>
    <x:row r="46" ht="30" customHeight="1">
      <x:c r="A46" s="22"/>
      <x:c r="B46" s="18"/>
      <x:c r="C46" s="18"/>
      <x:c r="D46" s="18"/>
      <x:c r="E46" s="18"/>
      <x:c r="F46" s="18"/>
      <x:c r="G46" s="18"/>
      <x:c r="H46" s="18"/>
      <x:c r="I46" s="18"/>
      <x:c r="J46" s="24"/>
      <x:c r="K46" s="24"/>
      <x:c r="L46" s="24"/>
      <x:c r="M46" s="24"/>
      <x:c r="N46" s="24"/>
      <x:c r="O46" s="18"/>
      <x:c r="P46" s="18"/>
      <x:c r="Q46" s="24"/>
      <x:c r="R46" s="28"/>
      <x:c r="S46" s="28"/>
      <x:c r="T46" s="18"/>
      <x:c r="U46" s="18"/>
      <x:c r="V46" s="18"/>
      <x:c r="W46" s="18"/>
    </x:row>
    <x:row r="47" ht="30" customHeight="1">
      <x:c r="A47" s="22"/>
      <x:c r="B47" s="18"/>
      <x:c r="C47" s="18"/>
      <x:c r="D47" s="18"/>
      <x:c r="E47" s="18"/>
      <x:c r="F47" s="18"/>
      <x:c r="G47" s="18"/>
      <x:c r="H47" s="18"/>
      <x:c r="I47" s="18"/>
      <x:c r="J47" s="24"/>
      <x:c r="K47" s="24"/>
      <x:c r="L47" s="24"/>
      <x:c r="M47" s="24"/>
      <x:c r="N47" s="24"/>
      <x:c r="O47" s="18"/>
      <x:c r="P47" s="18"/>
      <x:c r="Q47" s="24"/>
      <x:c r="R47" s="28"/>
      <x:c r="S47" s="28"/>
      <x:c r="T47" s="18"/>
      <x:c r="U47" s="18"/>
      <x:c r="V47" s="18"/>
      <x:c r="W47" s="18"/>
    </x:row>
    <x:row r="48" ht="30" customHeight="1">
      <x:c r="A48" s="22"/>
      <x:c r="B48" s="18"/>
      <x:c r="C48" s="18"/>
      <x:c r="D48" s="18"/>
      <x:c r="E48" s="18"/>
      <x:c r="F48" s="18"/>
      <x:c r="G48" s="18"/>
      <x:c r="H48" s="18"/>
      <x:c r="I48" s="18"/>
      <x:c r="J48" s="24"/>
      <x:c r="K48" s="24"/>
      <x:c r="L48" s="24"/>
      <x:c r="M48" s="24"/>
      <x:c r="N48" s="24"/>
      <x:c r="O48" s="18"/>
      <x:c r="P48" s="18"/>
      <x:c r="Q48" s="24"/>
      <x:c r="R48" s="28"/>
      <x:c r="S48" s="28"/>
      <x:c r="T48" s="18"/>
      <x:c r="U48" s="18"/>
      <x:c r="V48" s="18"/>
      <x:c r="W48" s="18"/>
    </x:row>
    <x:row r="49" ht="30" customHeight="1">
      <x:c r="A49" s="22"/>
      <x:c r="B49" s="18"/>
      <x:c r="C49" s="18"/>
      <x:c r="D49" s="18"/>
      <x:c r="E49" s="18"/>
      <x:c r="F49" s="18"/>
      <x:c r="G49" s="18"/>
      <x:c r="H49" s="18"/>
      <x:c r="I49" s="18"/>
      <x:c r="J49" s="24"/>
      <x:c r="K49" s="24"/>
      <x:c r="L49" s="24"/>
      <x:c r="M49" s="24"/>
      <x:c r="N49" s="24"/>
      <x:c r="O49" s="18"/>
      <x:c r="P49" s="18"/>
      <x:c r="Q49" s="24"/>
      <x:c r="R49" s="28"/>
      <x:c r="S49" s="28"/>
      <x:c r="T49" s="18"/>
      <x:c r="U49" s="18"/>
      <x:c r="V49" s="18"/>
      <x:c r="W49" s="18"/>
    </x:row>
    <x:row r="50" ht="30" customHeight="1">
      <x:c r="A50" s="22"/>
      <x:c r="B50" s="18"/>
      <x:c r="C50" s="18"/>
      <x:c r="D50" s="18"/>
      <x:c r="E50" s="18"/>
      <x:c r="F50" s="18"/>
      <x:c r="G50" s="18"/>
      <x:c r="H50" s="18"/>
      <x:c r="I50" s="18"/>
      <x:c r="J50" s="24"/>
      <x:c r="K50" s="24"/>
      <x:c r="L50" s="24"/>
      <x:c r="M50" s="24"/>
      <x:c r="N50" s="24"/>
      <x:c r="O50" s="18"/>
      <x:c r="P50" s="18"/>
      <x:c r="Q50" s="24"/>
      <x:c r="R50" s="28"/>
      <x:c r="S50" s="28"/>
      <x:c r="T50" s="18"/>
      <x:c r="U50" s="18"/>
      <x:c r="V50" s="18"/>
      <x:c r="W50" s="18"/>
    </x:row>
    <x:row r="51" ht="30" customHeight="1">
      <x:c r="A51" s="22"/>
      <x:c r="B51" s="18"/>
      <x:c r="C51" s="18"/>
      <x:c r="D51" s="18"/>
      <x:c r="E51" s="18"/>
      <x:c r="F51" s="18"/>
      <x:c r="G51" s="18"/>
      <x:c r="H51" s="18"/>
      <x:c r="I51" s="18"/>
      <x:c r="J51" s="24"/>
      <x:c r="K51" s="24"/>
      <x:c r="L51" s="24"/>
      <x:c r="M51" s="24"/>
      <x:c r="N51" s="24"/>
      <x:c r="O51" s="18"/>
      <x:c r="P51" s="18"/>
      <x:c r="Q51" s="24"/>
      <x:c r="R51" s="28"/>
      <x:c r="S51" s="28"/>
      <x:c r="T51" s="18"/>
      <x:c r="U51" s="18"/>
      <x:c r="V51" s="18"/>
      <x:c r="W51" s="18"/>
    </x:row>
    <x:row r="52" ht="30" customHeight="1">
      <x:c r="A52" s="22"/>
      <x:c r="B52" s="18"/>
      <x:c r="C52" s="18"/>
      <x:c r="D52" s="18"/>
      <x:c r="E52" s="18"/>
      <x:c r="F52" s="18"/>
      <x:c r="G52" s="18"/>
      <x:c r="H52" s="18"/>
      <x:c r="I52" s="18"/>
      <x:c r="J52" s="24"/>
      <x:c r="K52" s="24"/>
      <x:c r="L52" s="24"/>
      <x:c r="M52" s="24"/>
      <x:c r="N52" s="24"/>
      <x:c r="O52" s="18"/>
      <x:c r="P52" s="18"/>
      <x:c r="Q52" s="24"/>
      <x:c r="R52" s="28"/>
      <x:c r="S52" s="28"/>
      <x:c r="T52" s="18"/>
      <x:c r="U52" s="18"/>
      <x:c r="V52" s="18"/>
      <x:c r="W52" s="18"/>
    </x:row>
    <x:row r="53" ht="30" customHeight="1">
      <x:c r="A53" s="22"/>
      <x:c r="B53" s="18"/>
      <x:c r="C53" s="18"/>
      <x:c r="D53" s="18"/>
      <x:c r="E53" s="18"/>
      <x:c r="F53" s="18"/>
      <x:c r="G53" s="18"/>
      <x:c r="H53" s="18"/>
      <x:c r="I53" s="18"/>
      <x:c r="J53" s="24"/>
      <x:c r="K53" s="24"/>
      <x:c r="L53" s="24"/>
      <x:c r="M53" s="24"/>
      <x:c r="N53" s="24"/>
      <x:c r="O53" s="18"/>
      <x:c r="P53" s="18"/>
      <x:c r="Q53" s="24"/>
      <x:c r="R53" s="28"/>
      <x:c r="S53" s="28"/>
      <x:c r="T53" s="18"/>
      <x:c r="U53" s="18"/>
      <x:c r="V53" s="18"/>
      <x:c r="W53" s="18"/>
    </x:row>
    <x:row r="54" ht="30" customHeight="1">
      <x:c r="A54" s="22"/>
      <x:c r="B54" s="18"/>
      <x:c r="C54" s="18"/>
      <x:c r="D54" s="18"/>
      <x:c r="E54" s="18"/>
      <x:c r="F54" s="18"/>
      <x:c r="G54" s="18"/>
      <x:c r="H54" s="18"/>
      <x:c r="I54" s="18"/>
      <x:c r="J54" s="24"/>
      <x:c r="K54" s="24"/>
      <x:c r="L54" s="24"/>
      <x:c r="M54" s="24"/>
      <x:c r="N54" s="24"/>
      <x:c r="O54" s="18"/>
      <x:c r="P54" s="18"/>
      <x:c r="Q54" s="24"/>
      <x:c r="R54" s="28"/>
      <x:c r="S54" s="28"/>
      <x:c r="T54" s="18"/>
      <x:c r="U54" s="18"/>
      <x:c r="V54" s="18"/>
      <x:c r="W54" s="18"/>
    </x:row>
    <x:row r="55" ht="30" customHeight="1">
      <x:c r="A55" s="22"/>
      <x:c r="B55" s="18"/>
      <x:c r="C55" s="18"/>
      <x:c r="D55" s="18"/>
      <x:c r="E55" s="18"/>
      <x:c r="F55" s="18"/>
      <x:c r="G55" s="18"/>
      <x:c r="H55" s="18"/>
      <x:c r="I55" s="18"/>
      <x:c r="J55" s="24"/>
      <x:c r="K55" s="24"/>
      <x:c r="L55" s="24"/>
      <x:c r="M55" s="24"/>
      <x:c r="N55" s="24"/>
      <x:c r="O55" s="18"/>
      <x:c r="P55" s="18"/>
      <x:c r="Q55" s="24"/>
      <x:c r="R55" s="28"/>
      <x:c r="S55" s="28"/>
      <x:c r="T55" s="18"/>
      <x:c r="U55" s="18"/>
      <x:c r="V55" s="18"/>
      <x:c r="W55" s="18"/>
    </x:row>
    <x:row r="56" ht="30" customHeight="1">
      <x:c r="A56" s="22"/>
      <x:c r="B56" s="18"/>
      <x:c r="C56" s="18"/>
      <x:c r="D56" s="18"/>
      <x:c r="E56" s="18"/>
      <x:c r="F56" s="18"/>
      <x:c r="G56" s="18"/>
      <x:c r="H56" s="18"/>
      <x:c r="I56" s="18"/>
      <x:c r="J56" s="24"/>
      <x:c r="K56" s="24"/>
      <x:c r="L56" s="24"/>
      <x:c r="M56" s="24"/>
      <x:c r="N56" s="24"/>
      <x:c r="O56" s="18"/>
      <x:c r="P56" s="18"/>
      <x:c r="Q56" s="24"/>
      <x:c r="R56" s="28"/>
      <x:c r="S56" s="28"/>
      <x:c r="T56" s="18"/>
      <x:c r="U56" s="18"/>
      <x:c r="V56" s="18"/>
      <x:c r="W56" s="18"/>
    </x:row>
    <x:row r="57" ht="30" customHeight="1">
      <x:c r="A57" s="22"/>
      <x:c r="B57" s="18"/>
      <x:c r="C57" s="18"/>
      <x:c r="D57" s="18"/>
      <x:c r="E57" s="18"/>
      <x:c r="F57" s="18"/>
      <x:c r="G57" s="18"/>
      <x:c r="H57" s="18"/>
      <x:c r="I57" s="18"/>
      <x:c r="J57" s="24"/>
      <x:c r="K57" s="24"/>
      <x:c r="L57" s="24"/>
      <x:c r="M57" s="24"/>
      <x:c r="N57" s="24"/>
      <x:c r="O57" s="18"/>
      <x:c r="P57" s="18"/>
      <x:c r="Q57" s="24"/>
      <x:c r="R57" s="28"/>
      <x:c r="S57" s="28"/>
      <x:c r="T57" s="18"/>
      <x:c r="U57" s="18"/>
      <x:c r="V57" s="18"/>
      <x:c r="W57" s="18"/>
    </x:row>
    <x:row r="58" ht="30" customHeight="1">
      <x:c r="A58" s="22"/>
      <x:c r="B58" s="18"/>
      <x:c r="C58" s="18"/>
      <x:c r="D58" s="18"/>
      <x:c r="E58" s="18"/>
      <x:c r="F58" s="18"/>
      <x:c r="G58" s="18"/>
      <x:c r="H58" s="18"/>
      <x:c r="I58" s="18"/>
      <x:c r="J58" s="24"/>
      <x:c r="K58" s="24"/>
      <x:c r="L58" s="24"/>
      <x:c r="M58" s="24"/>
      <x:c r="N58" s="24"/>
      <x:c r="O58" s="18"/>
      <x:c r="P58" s="18"/>
      <x:c r="Q58" s="24"/>
      <x:c r="R58" s="28"/>
      <x:c r="S58" s="28"/>
      <x:c r="T58" s="18"/>
      <x:c r="U58" s="18"/>
      <x:c r="V58" s="18"/>
      <x:c r="W58" s="18"/>
    </x:row>
    <x:row r="59" ht="30" customHeight="1">
      <x:c r="A59" s="22"/>
      <x:c r="B59" s="18"/>
      <x:c r="C59" s="18"/>
      <x:c r="D59" s="18"/>
      <x:c r="E59" s="18"/>
      <x:c r="F59" s="18"/>
      <x:c r="G59" s="18"/>
      <x:c r="H59" s="18"/>
      <x:c r="I59" s="18"/>
      <x:c r="J59" s="24"/>
      <x:c r="K59" s="24"/>
      <x:c r="L59" s="24"/>
      <x:c r="M59" s="24"/>
      <x:c r="N59" s="24"/>
      <x:c r="O59" s="18"/>
      <x:c r="P59" s="18"/>
      <x:c r="Q59" s="24"/>
      <x:c r="R59" s="28"/>
      <x:c r="S59" s="28"/>
      <x:c r="T59" s="18"/>
      <x:c r="U59" s="18"/>
      <x:c r="V59" s="18"/>
      <x:c r="W59" s="18"/>
    </x:row>
    <x:row r="60" ht="30" customHeight="1">
      <x:c r="A60" s="22"/>
      <x:c r="B60" s="18"/>
      <x:c r="C60" s="18"/>
      <x:c r="D60" s="18"/>
      <x:c r="E60" s="18"/>
      <x:c r="F60" s="18"/>
      <x:c r="G60" s="18"/>
      <x:c r="H60" s="18"/>
      <x:c r="I60" s="18"/>
      <x:c r="J60" s="24"/>
      <x:c r="K60" s="24"/>
      <x:c r="L60" s="24"/>
      <x:c r="M60" s="24"/>
      <x:c r="N60" s="24"/>
      <x:c r="O60" s="18"/>
      <x:c r="P60" s="18"/>
      <x:c r="Q60" s="24"/>
      <x:c r="R60" s="28"/>
      <x:c r="S60" s="28"/>
      <x:c r="T60" s="18"/>
      <x:c r="U60" s="18"/>
      <x:c r="V60" s="18"/>
      <x:c r="W60" s="18"/>
    </x:row>
    <x:row r="61" ht="30" customHeight="1">
      <x:c r="A61" s="22"/>
      <x:c r="B61" s="18"/>
      <x:c r="C61" s="18"/>
      <x:c r="D61" s="18"/>
      <x:c r="E61" s="18"/>
      <x:c r="F61" s="18"/>
      <x:c r="G61" s="18"/>
      <x:c r="H61" s="18"/>
      <x:c r="I61" s="18"/>
      <x:c r="J61" s="24"/>
      <x:c r="K61" s="24"/>
      <x:c r="L61" s="24"/>
      <x:c r="M61" s="24"/>
      <x:c r="N61" s="24"/>
      <x:c r="O61" s="18"/>
      <x:c r="P61" s="18"/>
      <x:c r="Q61" s="24"/>
      <x:c r="R61" s="28"/>
      <x:c r="S61" s="28"/>
      <x:c r="T61" s="18"/>
      <x:c r="U61" s="18"/>
      <x:c r="V61" s="18"/>
      <x:c r="W61" s="18"/>
    </x:row>
    <x:row r="62" ht="30" customHeight="1">
      <x:c r="A62" s="22"/>
      <x:c r="B62" s="18"/>
      <x:c r="C62" s="18"/>
      <x:c r="D62" s="18"/>
      <x:c r="E62" s="18"/>
      <x:c r="F62" s="18"/>
      <x:c r="G62" s="18"/>
      <x:c r="H62" s="18"/>
      <x:c r="I62" s="18"/>
      <x:c r="J62" s="24"/>
      <x:c r="K62" s="24"/>
      <x:c r="L62" s="24"/>
      <x:c r="M62" s="24"/>
      <x:c r="N62" s="24"/>
      <x:c r="O62" s="18"/>
      <x:c r="P62" s="18"/>
      <x:c r="Q62" s="24"/>
      <x:c r="R62" s="28"/>
      <x:c r="S62" s="28"/>
      <x:c r="T62" s="18"/>
      <x:c r="U62" s="18"/>
      <x:c r="V62" s="18"/>
      <x:c r="W62" s="18"/>
    </x:row>
    <x:row r="63" ht="30" customHeight="1">
      <x:c r="A63" s="22"/>
      <x:c r="B63" s="18"/>
      <x:c r="C63" s="18"/>
      <x:c r="D63" s="18"/>
      <x:c r="E63" s="18"/>
      <x:c r="F63" s="18"/>
      <x:c r="G63" s="18"/>
      <x:c r="H63" s="18"/>
      <x:c r="I63" s="18"/>
      <x:c r="J63" s="24"/>
      <x:c r="K63" s="24"/>
      <x:c r="L63" s="24"/>
      <x:c r="M63" s="24"/>
      <x:c r="N63" s="24"/>
      <x:c r="O63" s="18"/>
      <x:c r="P63" s="18"/>
      <x:c r="Q63" s="24"/>
      <x:c r="R63" s="28"/>
      <x:c r="S63" s="28"/>
      <x:c r="T63" s="18"/>
      <x:c r="U63" s="18"/>
      <x:c r="V63" s="18"/>
      <x:c r="W63" s="18"/>
    </x:row>
    <x:row r="64" ht="30" customHeight="1">
      <x:c r="A64" s="22"/>
      <x:c r="B64" s="18"/>
      <x:c r="C64" s="18"/>
      <x:c r="D64" s="18"/>
      <x:c r="E64" s="18"/>
      <x:c r="F64" s="18"/>
      <x:c r="G64" s="18"/>
      <x:c r="H64" s="18"/>
      <x:c r="I64" s="18"/>
      <x:c r="J64" s="24"/>
      <x:c r="K64" s="24"/>
      <x:c r="L64" s="24"/>
      <x:c r="M64" s="24"/>
      <x:c r="N64" s="24"/>
      <x:c r="O64" s="18"/>
      <x:c r="P64" s="18"/>
      <x:c r="Q64" s="24"/>
      <x:c r="R64" s="28"/>
      <x:c r="S64" s="28"/>
      <x:c r="T64" s="18"/>
      <x:c r="U64" s="18"/>
      <x:c r="V64" s="18"/>
      <x:c r="W64" s="18"/>
    </x:row>
    <x:row r="65" ht="30" customHeight="1">
      <x:c r="A65" s="22"/>
      <x:c r="B65" s="18"/>
      <x:c r="C65" s="18"/>
      <x:c r="D65" s="18"/>
      <x:c r="E65" s="18"/>
      <x:c r="F65" s="18"/>
      <x:c r="G65" s="18"/>
      <x:c r="H65" s="18"/>
      <x:c r="I65" s="18"/>
      <x:c r="J65" s="24"/>
      <x:c r="K65" s="24"/>
      <x:c r="L65" s="24"/>
      <x:c r="M65" s="24"/>
      <x:c r="N65" s="24"/>
      <x:c r="O65" s="18"/>
      <x:c r="P65" s="18"/>
      <x:c r="Q65" s="24"/>
      <x:c r="R65" s="28"/>
      <x:c r="S65" s="28"/>
      <x:c r="T65" s="18"/>
      <x:c r="U65" s="18"/>
      <x:c r="V65" s="18"/>
      <x:c r="W65" s="18"/>
    </x:row>
    <x:row r="66" ht="30" customHeight="1">
      <x:c r="A66" s="22"/>
      <x:c r="B66" s="18"/>
      <x:c r="C66" s="18"/>
      <x:c r="D66" s="18"/>
      <x:c r="E66" s="18"/>
      <x:c r="F66" s="18"/>
      <x:c r="G66" s="18"/>
      <x:c r="H66" s="18"/>
      <x:c r="I66" s="18"/>
      <x:c r="J66" s="24"/>
      <x:c r="K66" s="24"/>
      <x:c r="L66" s="24"/>
      <x:c r="M66" s="24"/>
      <x:c r="N66" s="24"/>
      <x:c r="O66" s="18"/>
      <x:c r="P66" s="18"/>
      <x:c r="Q66" s="24"/>
      <x:c r="R66" s="28"/>
      <x:c r="S66" s="28"/>
      <x:c r="T66" s="18"/>
      <x:c r="U66" s="18"/>
      <x:c r="V66" s="18"/>
      <x:c r="W66" s="18"/>
    </x:row>
    <x:row r="67" ht="30" customHeight="1">
      <x:c r="A67" s="22"/>
      <x:c r="B67" s="18"/>
      <x:c r="C67" s="18"/>
      <x:c r="D67" s="18"/>
      <x:c r="E67" s="18"/>
      <x:c r="F67" s="18"/>
      <x:c r="G67" s="18"/>
      <x:c r="H67" s="18"/>
      <x:c r="I67" s="18"/>
      <x:c r="J67" s="24"/>
      <x:c r="K67" s="24"/>
      <x:c r="L67" s="24"/>
      <x:c r="M67" s="24"/>
      <x:c r="N67" s="24"/>
      <x:c r="O67" s="18"/>
      <x:c r="P67" s="18"/>
      <x:c r="Q67" s="24"/>
      <x:c r="R67" s="28"/>
      <x:c r="S67" s="28"/>
      <x:c r="T67" s="18"/>
      <x:c r="U67" s="18"/>
      <x:c r="V67" s="18"/>
      <x:c r="W67" s="18"/>
    </x:row>
    <x:row r="68" ht="30" customHeight="1">
      <x:c r="A68" s="22"/>
      <x:c r="B68" s="18"/>
      <x:c r="C68" s="18"/>
      <x:c r="D68" s="18"/>
      <x:c r="E68" s="18"/>
      <x:c r="F68" s="18"/>
      <x:c r="G68" s="18"/>
      <x:c r="H68" s="18"/>
      <x:c r="I68" s="18"/>
      <x:c r="J68" s="24"/>
      <x:c r="K68" s="24"/>
      <x:c r="L68" s="24"/>
      <x:c r="M68" s="24"/>
      <x:c r="N68" s="24"/>
      <x:c r="O68" s="18"/>
      <x:c r="P68" s="18"/>
      <x:c r="Q68" s="24"/>
      <x:c r="R68" s="28"/>
      <x:c r="S68" s="28"/>
      <x:c r="T68" s="18"/>
      <x:c r="U68" s="18"/>
      <x:c r="V68" s="18"/>
      <x:c r="W68" s="18"/>
    </x:row>
    <x:row r="69" ht="30" customHeight="1">
      <x:c r="A69" s="22"/>
      <x:c r="B69" s="18"/>
      <x:c r="C69" s="18"/>
      <x:c r="D69" s="18"/>
      <x:c r="E69" s="18"/>
      <x:c r="F69" s="18"/>
      <x:c r="G69" s="18"/>
      <x:c r="H69" s="18"/>
      <x:c r="I69" s="18"/>
      <x:c r="J69" s="24"/>
      <x:c r="K69" s="24"/>
      <x:c r="L69" s="24"/>
      <x:c r="M69" s="24"/>
      <x:c r="N69" s="24"/>
      <x:c r="O69" s="18"/>
      <x:c r="P69" s="18"/>
      <x:c r="Q69" s="24"/>
      <x:c r="R69" s="28"/>
      <x:c r="S69" s="28"/>
      <x:c r="T69" s="18"/>
      <x:c r="U69" s="18"/>
      <x:c r="V69" s="18"/>
      <x:c r="W69" s="18"/>
    </x:row>
    <x:row r="70" ht="30" customHeight="1">
      <x:c r="A70" s="22"/>
      <x:c r="B70" s="18"/>
      <x:c r="C70" s="18"/>
      <x:c r="D70" s="18"/>
      <x:c r="E70" s="18"/>
      <x:c r="F70" s="18"/>
      <x:c r="G70" s="18"/>
      <x:c r="H70" s="18"/>
      <x:c r="I70" s="18"/>
      <x:c r="J70" s="24"/>
      <x:c r="K70" s="24"/>
      <x:c r="L70" s="24"/>
      <x:c r="M70" s="24"/>
      <x:c r="N70" s="24"/>
      <x:c r="O70" s="18"/>
      <x:c r="P70" s="18"/>
      <x:c r="Q70" s="24"/>
      <x:c r="R70" s="28"/>
      <x:c r="S70" s="28"/>
      <x:c r="T70" s="18"/>
      <x:c r="U70" s="18"/>
      <x:c r="V70" s="18"/>
      <x:c r="W70" s="18"/>
    </x:row>
    <x:row r="71" ht="30" customHeight="1">
      <x:c r="A71" s="22"/>
      <x:c r="B71" s="18"/>
      <x:c r="C71" s="18"/>
      <x:c r="D71" s="18"/>
      <x:c r="E71" s="18"/>
      <x:c r="F71" s="18"/>
      <x:c r="G71" s="18"/>
      <x:c r="H71" s="18"/>
      <x:c r="I71" s="18"/>
      <x:c r="J71" s="24"/>
      <x:c r="K71" s="24"/>
      <x:c r="L71" s="24"/>
      <x:c r="M71" s="24"/>
      <x:c r="N71" s="24"/>
      <x:c r="O71" s="18"/>
      <x:c r="P71" s="18"/>
      <x:c r="Q71" s="24"/>
      <x:c r="R71" s="28"/>
      <x:c r="S71" s="28"/>
      <x:c r="T71" s="18"/>
      <x:c r="U71" s="18"/>
      <x:c r="V71" s="18"/>
      <x:c r="W71" s="18"/>
    </x:row>
    <x:row r="72" ht="30" customHeight="1">
      <x:c r="A72" s="22"/>
      <x:c r="B72" s="18"/>
      <x:c r="C72" s="18"/>
      <x:c r="D72" s="18"/>
      <x:c r="E72" s="18"/>
      <x:c r="F72" s="18"/>
      <x:c r="G72" s="18"/>
      <x:c r="H72" s="18"/>
      <x:c r="I72" s="18"/>
      <x:c r="J72" s="24"/>
      <x:c r="K72" s="24"/>
      <x:c r="L72" s="24"/>
      <x:c r="M72" s="24"/>
      <x:c r="N72" s="24"/>
      <x:c r="O72" s="18"/>
      <x:c r="P72" s="18"/>
      <x:c r="Q72" s="24"/>
      <x:c r="R72" s="28"/>
      <x:c r="S72" s="28"/>
      <x:c r="T72" s="18"/>
      <x:c r="U72" s="18"/>
      <x:c r="V72" s="18"/>
      <x:c r="W72" s="18"/>
    </x:row>
    <x:row r="73" ht="30" customHeight="1">
      <x:c r="A73" s="22"/>
      <x:c r="B73" s="18"/>
      <x:c r="C73" s="18"/>
      <x:c r="D73" s="18"/>
      <x:c r="E73" s="18"/>
      <x:c r="F73" s="18"/>
      <x:c r="G73" s="18"/>
      <x:c r="H73" s="18"/>
      <x:c r="I73" s="18"/>
      <x:c r="J73" s="24"/>
      <x:c r="K73" s="24"/>
      <x:c r="L73" s="24"/>
      <x:c r="M73" s="24"/>
      <x:c r="N73" s="24"/>
      <x:c r="O73" s="18"/>
      <x:c r="P73" s="18"/>
      <x:c r="Q73" s="24"/>
      <x:c r="R73" s="28"/>
      <x:c r="S73" s="28"/>
      <x:c r="T73" s="18"/>
      <x:c r="U73" s="18"/>
      <x:c r="V73" s="18"/>
      <x:c r="W73" s="18"/>
    </x:row>
    <x:row r="74" ht="30" customHeight="1">
      <x:c r="A74" s="22"/>
      <x:c r="B74" s="18"/>
      <x:c r="C74" s="18"/>
      <x:c r="D74" s="18"/>
      <x:c r="E74" s="18"/>
      <x:c r="F74" s="18"/>
      <x:c r="G74" s="18"/>
      <x:c r="H74" s="18"/>
      <x:c r="I74" s="18"/>
      <x:c r="J74" s="24"/>
      <x:c r="K74" s="24"/>
      <x:c r="L74" s="24"/>
      <x:c r="M74" s="24"/>
      <x:c r="N74" s="24"/>
      <x:c r="O74" s="18"/>
      <x:c r="P74" s="18"/>
      <x:c r="Q74" s="24"/>
      <x:c r="R74" s="28"/>
      <x:c r="S74" s="28"/>
      <x:c r="T74" s="18"/>
      <x:c r="U74" s="18"/>
      <x:c r="V74" s="18"/>
      <x:c r="W74" s="18"/>
    </x:row>
    <x:row r="75" ht="30" customHeight="1">
      <x:c r="A75" s="22"/>
      <x:c r="B75" s="18"/>
      <x:c r="C75" s="18"/>
      <x:c r="D75" s="18"/>
      <x:c r="E75" s="18"/>
      <x:c r="F75" s="18"/>
      <x:c r="G75" s="18"/>
      <x:c r="H75" s="18"/>
      <x:c r="I75" s="18"/>
      <x:c r="J75" s="24"/>
      <x:c r="K75" s="24"/>
      <x:c r="L75" s="24"/>
      <x:c r="M75" s="24"/>
      <x:c r="N75" s="24"/>
      <x:c r="O75" s="18"/>
      <x:c r="P75" s="18"/>
      <x:c r="Q75" s="24"/>
      <x:c r="R75" s="28"/>
      <x:c r="S75" s="28"/>
      <x:c r="T75" s="18"/>
      <x:c r="U75" s="18"/>
      <x:c r="V75" s="18"/>
      <x:c r="W75" s="18"/>
    </x:row>
    <x:row r="76" ht="30" customHeight="1">
      <x:c r="A76" s="22"/>
      <x:c r="B76" s="18"/>
      <x:c r="C76" s="18"/>
      <x:c r="D76" s="18"/>
      <x:c r="E76" s="18"/>
      <x:c r="F76" s="18"/>
      <x:c r="G76" s="18"/>
      <x:c r="H76" s="18"/>
      <x:c r="I76" s="18"/>
      <x:c r="J76" s="24"/>
      <x:c r="K76" s="24"/>
      <x:c r="L76" s="24"/>
      <x:c r="M76" s="24"/>
      <x:c r="N76" s="24"/>
      <x:c r="O76" s="18"/>
      <x:c r="P76" s="18"/>
      <x:c r="Q76" s="24"/>
      <x:c r="R76" s="28"/>
      <x:c r="S76" s="28"/>
      <x:c r="T76" s="18"/>
      <x:c r="U76" s="18"/>
      <x:c r="V76" s="18"/>
      <x:c r="W76" s="18"/>
    </x:row>
    <x:row r="77" ht="30" customHeight="1">
      <x:c r="A77" s="22"/>
      <x:c r="B77" s="18"/>
      <x:c r="C77" s="18"/>
      <x:c r="D77" s="18"/>
      <x:c r="E77" s="18"/>
      <x:c r="F77" s="18"/>
      <x:c r="G77" s="18"/>
      <x:c r="H77" s="18"/>
      <x:c r="I77" s="18"/>
      <x:c r="J77" s="24"/>
      <x:c r="K77" s="24"/>
      <x:c r="L77" s="24"/>
      <x:c r="M77" s="24"/>
      <x:c r="N77" s="24"/>
      <x:c r="O77" s="18"/>
      <x:c r="P77" s="18"/>
      <x:c r="Q77" s="24"/>
      <x:c r="R77" s="28"/>
      <x:c r="S77" s="28"/>
      <x:c r="T77" s="18"/>
      <x:c r="U77" s="18"/>
      <x:c r="V77" s="18"/>
      <x:c r="W77" s="18"/>
    </x:row>
    <x:row r="78" ht="30" customHeight="1">
      <x:c r="A78" s="22"/>
      <x:c r="B78" s="18"/>
      <x:c r="C78" s="18"/>
      <x:c r="D78" s="18"/>
      <x:c r="E78" s="18"/>
      <x:c r="F78" s="18"/>
      <x:c r="G78" s="18"/>
      <x:c r="H78" s="18"/>
      <x:c r="I78" s="18"/>
      <x:c r="J78" s="24"/>
      <x:c r="K78" s="24"/>
      <x:c r="L78" s="24"/>
      <x:c r="M78" s="24"/>
      <x:c r="N78" s="24"/>
      <x:c r="O78" s="18"/>
      <x:c r="P78" s="18"/>
      <x:c r="Q78" s="24"/>
      <x:c r="R78" s="28"/>
      <x:c r="S78" s="28"/>
      <x:c r="T78" s="18"/>
      <x:c r="U78" s="18"/>
      <x:c r="V78" s="18"/>
      <x:c r="W78" s="18"/>
    </x:row>
    <x:row r="79" ht="30" customHeight="1">
      <x:c r="A79" s="22"/>
      <x:c r="B79" s="18"/>
      <x:c r="C79" s="18"/>
      <x:c r="D79" s="18"/>
      <x:c r="E79" s="18"/>
      <x:c r="F79" s="18"/>
      <x:c r="G79" s="18"/>
      <x:c r="H79" s="18"/>
      <x:c r="I79" s="18"/>
      <x:c r="J79" s="24"/>
      <x:c r="K79" s="24"/>
      <x:c r="L79" s="24"/>
      <x:c r="M79" s="24"/>
      <x:c r="N79" s="24"/>
      <x:c r="O79" s="18"/>
      <x:c r="P79" s="18"/>
      <x:c r="Q79" s="24"/>
      <x:c r="R79" s="28"/>
      <x:c r="S79" s="28"/>
      <x:c r="T79" s="18"/>
      <x:c r="U79" s="18"/>
      <x:c r="V79" s="18"/>
      <x:c r="W79" s="18"/>
    </x:row>
    <x:row r="80" ht="30" customHeight="1">
      <x:c r="A80" s="22"/>
      <x:c r="B80" s="18"/>
      <x:c r="C80" s="18"/>
      <x:c r="D80" s="18"/>
      <x:c r="E80" s="18"/>
      <x:c r="F80" s="18"/>
      <x:c r="G80" s="18"/>
      <x:c r="H80" s="18"/>
      <x:c r="I80" s="18"/>
      <x:c r="J80" s="24"/>
      <x:c r="K80" s="24"/>
      <x:c r="L80" s="24"/>
      <x:c r="M80" s="24"/>
      <x:c r="N80" s="24"/>
      <x:c r="O80" s="18"/>
      <x:c r="P80" s="18"/>
      <x:c r="Q80" s="24"/>
      <x:c r="R80" s="28"/>
      <x:c r="S80" s="28"/>
      <x:c r="T80" s="18"/>
      <x:c r="U80" s="18"/>
      <x:c r="V80" s="18"/>
      <x:c r="W80" s="18"/>
    </x:row>
    <x:row r="81" ht="30" customHeight="1">
      <x:c r="A81" s="22"/>
      <x:c r="B81" s="18"/>
      <x:c r="C81" s="18"/>
      <x:c r="D81" s="18"/>
      <x:c r="E81" s="18"/>
      <x:c r="F81" s="18"/>
      <x:c r="G81" s="18"/>
      <x:c r="H81" s="18"/>
      <x:c r="I81" s="18"/>
      <x:c r="J81" s="24"/>
      <x:c r="K81" s="24"/>
      <x:c r="L81" s="24"/>
      <x:c r="M81" s="24"/>
      <x:c r="N81" s="24"/>
      <x:c r="O81" s="18"/>
      <x:c r="P81" s="18"/>
      <x:c r="Q81" s="24"/>
      <x:c r="R81" s="28"/>
      <x:c r="S81" s="28"/>
      <x:c r="T81" s="18"/>
      <x:c r="U81" s="18"/>
      <x:c r="V81" s="18"/>
      <x:c r="W81" s="18"/>
    </x:row>
    <x:row r="82" ht="30" customHeight="1">
      <x:c r="A82" s="22"/>
      <x:c r="B82" s="18"/>
      <x:c r="C82" s="18"/>
      <x:c r="D82" s="18"/>
      <x:c r="E82" s="18"/>
      <x:c r="F82" s="18"/>
      <x:c r="G82" s="18"/>
      <x:c r="H82" s="18"/>
      <x:c r="I82" s="18"/>
      <x:c r="J82" s="24"/>
      <x:c r="K82" s="24"/>
      <x:c r="L82" s="24"/>
      <x:c r="M82" s="24"/>
      <x:c r="N82" s="24"/>
      <x:c r="O82" s="18"/>
      <x:c r="P82" s="18"/>
      <x:c r="Q82" s="24"/>
      <x:c r="R82" s="28"/>
      <x:c r="S82" s="28"/>
      <x:c r="T82" s="18"/>
      <x:c r="U82" s="18"/>
      <x:c r="V82" s="18"/>
      <x:c r="W82" s="18"/>
    </x:row>
    <x:row r="83" ht="30" customHeight="1">
      <x:c r="A83" s="22"/>
      <x:c r="B83" s="18"/>
      <x:c r="C83" s="18"/>
      <x:c r="D83" s="18"/>
      <x:c r="E83" s="18"/>
      <x:c r="F83" s="18"/>
      <x:c r="G83" s="18"/>
      <x:c r="H83" s="18"/>
      <x:c r="I83" s="18"/>
      <x:c r="J83" s="24"/>
      <x:c r="K83" s="24"/>
      <x:c r="L83" s="24"/>
      <x:c r="M83" s="24"/>
      <x:c r="N83" s="24"/>
      <x:c r="O83" s="18"/>
      <x:c r="P83" s="18"/>
      <x:c r="Q83" s="24"/>
      <x:c r="R83" s="28"/>
      <x:c r="S83" s="28"/>
      <x:c r="T83" s="18"/>
      <x:c r="U83" s="18"/>
      <x:c r="V83" s="18"/>
      <x:c r="W83" s="18"/>
    </x:row>
    <x:row r="84" ht="30" customHeight="1">
      <x:c r="A84" s="22"/>
      <x:c r="B84" s="18"/>
      <x:c r="C84" s="18"/>
      <x:c r="D84" s="18"/>
      <x:c r="E84" s="18"/>
      <x:c r="F84" s="18"/>
      <x:c r="G84" s="18"/>
      <x:c r="H84" s="18"/>
      <x:c r="I84" s="18"/>
      <x:c r="J84" s="24"/>
      <x:c r="K84" s="24"/>
      <x:c r="L84" s="24"/>
      <x:c r="M84" s="24"/>
      <x:c r="N84" s="24"/>
      <x:c r="O84" s="18"/>
      <x:c r="P84" s="18"/>
      <x:c r="Q84" s="24"/>
      <x:c r="R84" s="28"/>
      <x:c r="S84" s="28"/>
      <x:c r="T84" s="18"/>
      <x:c r="U84" s="18"/>
      <x:c r="V84" s="18"/>
      <x:c r="W84" s="18"/>
    </x:row>
    <x:row r="85" ht="30" customHeight="1">
      <x:c r="A85" s="22"/>
      <x:c r="B85" s="18"/>
      <x:c r="C85" s="18"/>
      <x:c r="D85" s="18"/>
      <x:c r="E85" s="18"/>
      <x:c r="F85" s="18"/>
      <x:c r="G85" s="18"/>
      <x:c r="H85" s="18"/>
      <x:c r="I85" s="18"/>
      <x:c r="J85" s="24"/>
      <x:c r="K85" s="24"/>
      <x:c r="L85" s="24"/>
      <x:c r="M85" s="24"/>
      <x:c r="N85" s="24"/>
      <x:c r="O85" s="18"/>
      <x:c r="P85" s="18"/>
      <x:c r="Q85" s="24"/>
      <x:c r="R85" s="28"/>
      <x:c r="S85" s="28"/>
      <x:c r="T85" s="18"/>
      <x:c r="U85" s="18"/>
      <x:c r="V85" s="18"/>
      <x:c r="W85" s="18"/>
    </x:row>
    <x:row r="86" ht="30" customHeight="1">
      <x:c r="A86" s="22"/>
      <x:c r="B86" s="18"/>
      <x:c r="C86" s="18"/>
      <x:c r="D86" s="18"/>
      <x:c r="E86" s="18"/>
      <x:c r="F86" s="18"/>
      <x:c r="G86" s="18"/>
      <x:c r="H86" s="18"/>
      <x:c r="I86" s="18"/>
      <x:c r="J86" s="24"/>
      <x:c r="K86" s="24"/>
      <x:c r="L86" s="24"/>
      <x:c r="M86" s="24"/>
      <x:c r="N86" s="24"/>
      <x:c r="O86" s="18"/>
      <x:c r="P86" s="18"/>
      <x:c r="Q86" s="24"/>
      <x:c r="R86" s="28"/>
      <x:c r="S86" s="28"/>
      <x:c r="T86" s="18"/>
      <x:c r="U86" s="18"/>
      <x:c r="V86" s="18"/>
      <x:c r="W86" s="18"/>
    </x:row>
    <x:row r="87" ht="30" customHeight="1">
      <x:c r="A87" s="22"/>
      <x:c r="B87" s="18"/>
      <x:c r="C87" s="18"/>
      <x:c r="D87" s="18"/>
      <x:c r="E87" s="18"/>
      <x:c r="F87" s="18"/>
      <x:c r="G87" s="18"/>
      <x:c r="H87" s="18"/>
      <x:c r="I87" s="18"/>
      <x:c r="J87" s="24"/>
      <x:c r="K87" s="24"/>
      <x:c r="L87" s="24"/>
      <x:c r="M87" s="24"/>
      <x:c r="N87" s="24"/>
      <x:c r="O87" s="18"/>
      <x:c r="P87" s="18"/>
      <x:c r="Q87" s="24"/>
      <x:c r="R87" s="28"/>
      <x:c r="S87" s="28"/>
      <x:c r="T87" s="18"/>
      <x:c r="U87" s="18"/>
      <x:c r="V87" s="18"/>
      <x:c r="W87" s="18"/>
    </x:row>
    <x:row r="88" ht="30" customHeight="1">
      <x:c r="A88" s="22"/>
      <x:c r="B88" s="18"/>
      <x:c r="C88" s="18"/>
      <x:c r="D88" s="18"/>
      <x:c r="E88" s="18"/>
      <x:c r="F88" s="18"/>
      <x:c r="G88" s="18"/>
      <x:c r="H88" s="18"/>
      <x:c r="I88" s="18"/>
      <x:c r="J88" s="24"/>
      <x:c r="K88" s="24"/>
      <x:c r="L88" s="24"/>
      <x:c r="M88" s="24"/>
      <x:c r="N88" s="24"/>
      <x:c r="O88" s="18"/>
      <x:c r="P88" s="18"/>
      <x:c r="Q88" s="24"/>
      <x:c r="R88" s="28"/>
      <x:c r="S88" s="28"/>
      <x:c r="T88" s="18"/>
      <x:c r="U88" s="18"/>
      <x:c r="V88" s="18"/>
      <x:c r="W88" s="18"/>
    </x:row>
    <x:row r="89" ht="30" customHeight="1">
      <x:c r="A89" s="22"/>
      <x:c r="B89" s="18"/>
      <x:c r="C89" s="18"/>
      <x:c r="D89" s="18"/>
      <x:c r="E89" s="18"/>
      <x:c r="F89" s="18"/>
      <x:c r="G89" s="18"/>
      <x:c r="H89" s="18"/>
      <x:c r="I89" s="18"/>
      <x:c r="J89" s="24"/>
      <x:c r="K89" s="24"/>
      <x:c r="L89" s="24"/>
      <x:c r="M89" s="24"/>
      <x:c r="N89" s="24"/>
      <x:c r="O89" s="18"/>
      <x:c r="P89" s="18"/>
      <x:c r="Q89" s="24"/>
      <x:c r="R89" s="28"/>
      <x:c r="S89" s="28"/>
      <x:c r="T89" s="18"/>
      <x:c r="U89" s="18"/>
      <x:c r="V89" s="18"/>
      <x:c r="W89" s="18"/>
    </x:row>
    <x:row r="90" ht="30" customHeight="1">
      <x:c r="A90" s="22"/>
      <x:c r="B90" s="18"/>
      <x:c r="C90" s="18"/>
      <x:c r="D90" s="18"/>
      <x:c r="E90" s="18"/>
      <x:c r="F90" s="18"/>
      <x:c r="G90" s="18"/>
      <x:c r="H90" s="18"/>
      <x:c r="I90" s="18"/>
      <x:c r="J90" s="24"/>
      <x:c r="K90" s="24"/>
      <x:c r="L90" s="24"/>
      <x:c r="M90" s="24"/>
      <x:c r="N90" s="24"/>
      <x:c r="O90" s="18"/>
      <x:c r="P90" s="18"/>
      <x:c r="Q90" s="24"/>
      <x:c r="R90" s="28"/>
      <x:c r="S90" s="28"/>
      <x:c r="T90" s="18"/>
      <x:c r="U90" s="18"/>
      <x:c r="V90" s="18"/>
      <x:c r="W90" s="18"/>
    </x:row>
    <x:row r="91" ht="30" customHeight="1">
      <x:c r="A91" s="22"/>
      <x:c r="B91" s="18"/>
      <x:c r="C91" s="18"/>
      <x:c r="D91" s="18"/>
      <x:c r="E91" s="18"/>
      <x:c r="F91" s="18"/>
      <x:c r="G91" s="18"/>
      <x:c r="H91" s="18"/>
      <x:c r="I91" s="18"/>
      <x:c r="J91" s="24"/>
      <x:c r="K91" s="24"/>
      <x:c r="L91" s="24"/>
      <x:c r="M91" s="24"/>
      <x:c r="N91" s="24"/>
      <x:c r="O91" s="18"/>
      <x:c r="P91" s="18"/>
      <x:c r="Q91" s="24"/>
      <x:c r="R91" s="28"/>
      <x:c r="S91" s="28"/>
      <x:c r="T91" s="18"/>
      <x:c r="U91" s="18"/>
      <x:c r="V91" s="18"/>
      <x:c r="W91" s="18"/>
    </x:row>
    <x:row r="92" ht="30" customHeight="1">
      <x:c r="A92" s="22"/>
      <x:c r="B92" s="18"/>
      <x:c r="C92" s="18"/>
      <x:c r="D92" s="18"/>
      <x:c r="E92" s="18"/>
      <x:c r="F92" s="18"/>
      <x:c r="G92" s="18"/>
      <x:c r="H92" s="18"/>
      <x:c r="I92" s="18"/>
      <x:c r="J92" s="24"/>
      <x:c r="K92" s="24"/>
      <x:c r="L92" s="24"/>
      <x:c r="M92" s="24"/>
      <x:c r="N92" s="24"/>
      <x:c r="O92" s="18"/>
      <x:c r="P92" s="18"/>
      <x:c r="Q92" s="24"/>
      <x:c r="R92" s="28"/>
      <x:c r="S92" s="28"/>
      <x:c r="T92" s="18"/>
      <x:c r="U92" s="18"/>
      <x:c r="V92" s="18"/>
      <x:c r="W92" s="18"/>
    </x:row>
    <x:row r="93" ht="30" customHeight="1">
      <x:c r="A93" s="22"/>
      <x:c r="B93" s="18"/>
      <x:c r="C93" s="18"/>
      <x:c r="D93" s="18"/>
      <x:c r="E93" s="18"/>
      <x:c r="F93" s="18"/>
      <x:c r="G93" s="18"/>
      <x:c r="H93" s="18"/>
      <x:c r="I93" s="18"/>
      <x:c r="J93" s="24"/>
      <x:c r="K93" s="24"/>
      <x:c r="L93" s="24"/>
      <x:c r="M93" s="24"/>
      <x:c r="N93" s="24"/>
      <x:c r="O93" s="18"/>
      <x:c r="P93" s="18"/>
      <x:c r="Q93" s="24"/>
      <x:c r="R93" s="28"/>
      <x:c r="S93" s="28"/>
      <x:c r="T93" s="18"/>
      <x:c r="U93" s="18"/>
      <x:c r="V93" s="18"/>
      <x:c r="W93" s="18"/>
    </x:row>
    <x:row r="94" ht="30" customHeight="1">
      <x:c r="A94" s="22"/>
      <x:c r="B94" s="18"/>
      <x:c r="C94" s="18"/>
      <x:c r="D94" s="18"/>
      <x:c r="E94" s="18"/>
      <x:c r="F94" s="18"/>
      <x:c r="G94" s="18"/>
      <x:c r="H94" s="18"/>
      <x:c r="I94" s="18"/>
      <x:c r="J94" s="24"/>
      <x:c r="K94" s="24"/>
      <x:c r="L94" s="24"/>
      <x:c r="M94" s="24"/>
      <x:c r="N94" s="24"/>
      <x:c r="O94" s="18"/>
      <x:c r="P94" s="18"/>
      <x:c r="Q94" s="24"/>
      <x:c r="R94" s="28"/>
      <x:c r="S94" s="28"/>
      <x:c r="T94" s="18"/>
      <x:c r="U94" s="18"/>
      <x:c r="V94" s="18"/>
      <x:c r="W94" s="18"/>
    </x:row>
    <x:row r="95" ht="30" customHeight="1">
      <x:c r="A95" s="22"/>
      <x:c r="B95" s="18"/>
      <x:c r="C95" s="18"/>
      <x:c r="D95" s="18"/>
      <x:c r="E95" s="18"/>
      <x:c r="F95" s="18"/>
      <x:c r="G95" s="18"/>
      <x:c r="H95" s="18"/>
      <x:c r="I95" s="18"/>
      <x:c r="J95" s="24"/>
      <x:c r="K95" s="24"/>
      <x:c r="L95" s="24"/>
      <x:c r="M95" s="24"/>
      <x:c r="N95" s="24"/>
      <x:c r="O95" s="18"/>
      <x:c r="P95" s="18"/>
      <x:c r="Q95" s="24"/>
      <x:c r="R95" s="28"/>
      <x:c r="S95" s="28"/>
      <x:c r="T95" s="18"/>
      <x:c r="U95" s="18"/>
      <x:c r="V95" s="18"/>
      <x:c r="W95" s="18"/>
    </x:row>
    <x:row r="96" ht="30" customHeight="1">
      <x:c r="A96" s="22"/>
      <x:c r="B96" s="18"/>
      <x:c r="C96" s="18"/>
      <x:c r="D96" s="18"/>
      <x:c r="E96" s="18"/>
      <x:c r="F96" s="18"/>
      <x:c r="G96" s="18"/>
      <x:c r="H96" s="18"/>
      <x:c r="I96" s="18"/>
      <x:c r="J96" s="24"/>
      <x:c r="K96" s="24"/>
      <x:c r="L96" s="24"/>
      <x:c r="M96" s="24"/>
      <x:c r="N96" s="24"/>
      <x:c r="O96" s="18"/>
      <x:c r="P96" s="18"/>
      <x:c r="Q96" s="24"/>
      <x:c r="R96" s="28"/>
      <x:c r="S96" s="28"/>
      <x:c r="T96" s="18"/>
      <x:c r="U96" s="18"/>
      <x:c r="V96" s="18"/>
      <x:c r="W96" s="18"/>
    </x:row>
    <x:row r="97" ht="30" customHeight="1">
      <x:c r="A97" s="22"/>
      <x:c r="B97" s="18"/>
      <x:c r="C97" s="18"/>
      <x:c r="D97" s="18"/>
      <x:c r="E97" s="18"/>
      <x:c r="F97" s="18"/>
      <x:c r="G97" s="18"/>
      <x:c r="H97" s="18"/>
      <x:c r="I97" s="18"/>
      <x:c r="J97" s="24"/>
      <x:c r="K97" s="24"/>
      <x:c r="L97" s="24"/>
      <x:c r="M97" s="24"/>
      <x:c r="N97" s="24"/>
      <x:c r="O97" s="18"/>
      <x:c r="P97" s="18"/>
      <x:c r="Q97" s="24"/>
      <x:c r="R97" s="28"/>
      <x:c r="S97" s="28"/>
      <x:c r="T97" s="18"/>
      <x:c r="U97" s="18"/>
      <x:c r="V97" s="18"/>
      <x:c r="W97" s="18"/>
    </x:row>
    <x:row r="98" ht="30" customHeight="1">
      <x:c r="A98" s="22"/>
      <x:c r="B98" s="18"/>
      <x:c r="C98" s="18"/>
      <x:c r="D98" s="18"/>
      <x:c r="E98" s="18"/>
      <x:c r="F98" s="18"/>
      <x:c r="G98" s="18"/>
      <x:c r="H98" s="18"/>
      <x:c r="I98" s="18"/>
      <x:c r="J98" s="24"/>
      <x:c r="K98" s="24"/>
      <x:c r="L98" s="24"/>
      <x:c r="M98" s="24"/>
      <x:c r="N98" s="24"/>
      <x:c r="O98" s="18"/>
      <x:c r="P98" s="18"/>
      <x:c r="Q98" s="24"/>
      <x:c r="R98" s="28"/>
      <x:c r="S98" s="28"/>
      <x:c r="T98" s="18"/>
      <x:c r="U98" s="18"/>
      <x:c r="V98" s="18"/>
      <x:c r="W98" s="18"/>
    </x:row>
    <x:row r="99" ht="30" customHeight="1">
      <x:c r="A99" s="22"/>
      <x:c r="B99" s="18"/>
      <x:c r="C99" s="18"/>
      <x:c r="D99" s="18"/>
      <x:c r="E99" s="18"/>
      <x:c r="F99" s="18"/>
      <x:c r="G99" s="18"/>
      <x:c r="H99" s="18"/>
      <x:c r="I99" s="18"/>
      <x:c r="J99" s="24"/>
      <x:c r="K99" s="24"/>
      <x:c r="L99" s="24"/>
      <x:c r="M99" s="24"/>
      <x:c r="N99" s="24"/>
      <x:c r="O99" s="18"/>
      <x:c r="P99" s="18"/>
      <x:c r="Q99" s="24"/>
      <x:c r="R99" s="28"/>
      <x:c r="S99" s="28"/>
      <x:c r="T99" s="18"/>
      <x:c r="U99" s="18"/>
      <x:c r="V99" s="18"/>
      <x:c r="W99" s="18"/>
    </x:row>
    <x:row r="100" ht="30" customHeight="1">
      <x:c r="A100" s="22"/>
      <x:c r="B100" s="18"/>
      <x:c r="C100" s="18"/>
      <x:c r="D100" s="18"/>
      <x:c r="E100" s="18"/>
      <x:c r="F100" s="18"/>
      <x:c r="G100" s="18"/>
      <x:c r="H100" s="18"/>
      <x:c r="I100" s="18"/>
      <x:c r="J100" s="24"/>
      <x:c r="K100" s="24"/>
      <x:c r="L100" s="24"/>
      <x:c r="M100" s="24"/>
      <x:c r="N100" s="24"/>
      <x:c r="O100" s="18"/>
      <x:c r="P100" s="18"/>
      <x:c r="Q100" s="24"/>
      <x:c r="R100" s="28"/>
      <x:c r="S100" s="28"/>
      <x:c r="T100" s="18"/>
      <x:c r="U100" s="18"/>
      <x:c r="V100" s="18"/>
      <x:c r="W100" s="18"/>
    </x:row>
    <x:row r="101" ht="30" customHeight="1">
      <x:c r="A101" s="22"/>
      <x:c r="B101" s="18"/>
      <x:c r="C101" s="18"/>
      <x:c r="D101" s="18"/>
      <x:c r="E101" s="18"/>
      <x:c r="F101" s="18"/>
      <x:c r="G101" s="18"/>
      <x:c r="H101" s="18"/>
      <x:c r="I101" s="18"/>
      <x:c r="J101" s="24"/>
      <x:c r="K101" s="24"/>
      <x:c r="L101" s="24"/>
      <x:c r="M101" s="24"/>
      <x:c r="N101" s="24"/>
      <x:c r="O101" s="18"/>
      <x:c r="P101" s="18"/>
      <x:c r="Q101" s="24"/>
      <x:c r="R101" s="28"/>
      <x:c r="S101" s="28"/>
      <x:c r="T101" s="18"/>
      <x:c r="U101" s="18"/>
      <x:c r="V101" s="18"/>
      <x:c r="W101" s="18"/>
    </x:row>
    <x:row r="102" ht="30" customHeight="1">
      <x:c r="A102" s="22"/>
      <x:c r="B102" s="18"/>
      <x:c r="C102" s="18"/>
      <x:c r="D102" s="18"/>
      <x:c r="E102" s="18"/>
      <x:c r="F102" s="18"/>
      <x:c r="G102" s="18"/>
      <x:c r="H102" s="18"/>
      <x:c r="I102" s="18"/>
      <x:c r="J102" s="24"/>
      <x:c r="K102" s="24"/>
      <x:c r="L102" s="24"/>
      <x:c r="M102" s="24"/>
      <x:c r="N102" s="24"/>
      <x:c r="O102" s="18"/>
      <x:c r="P102" s="18"/>
      <x:c r="Q102" s="24"/>
      <x:c r="R102" s="28"/>
      <x:c r="S102" s="28"/>
      <x:c r="T102" s="18"/>
      <x:c r="U102" s="18"/>
      <x:c r="V102" s="18"/>
      <x:c r="W102" s="18"/>
    </x:row>
    <x:row r="103" ht="30" customHeight="1">
      <x:c r="A103" s="22"/>
      <x:c r="B103" s="18"/>
      <x:c r="C103" s="18"/>
      <x:c r="D103" s="18"/>
      <x:c r="E103" s="18"/>
      <x:c r="F103" s="18"/>
      <x:c r="G103" s="18"/>
      <x:c r="H103" s="18"/>
      <x:c r="I103" s="18"/>
      <x:c r="J103" s="24"/>
      <x:c r="K103" s="24"/>
      <x:c r="L103" s="24"/>
      <x:c r="M103" s="24"/>
      <x:c r="N103" s="24"/>
      <x:c r="O103" s="18"/>
      <x:c r="P103" s="18"/>
      <x:c r="Q103" s="24"/>
      <x:c r="R103" s="28"/>
      <x:c r="S103" s="28"/>
      <x:c r="T103" s="18"/>
      <x:c r="U103" s="18"/>
      <x:c r="V103" s="18"/>
      <x:c r="W103" s="18"/>
    </x:row>
    <x:row r="104" ht="30" customHeight="1">
      <x:c r="A104" s="22"/>
      <x:c r="B104" s="18"/>
      <x:c r="C104" s="18"/>
      <x:c r="D104" s="18"/>
      <x:c r="E104" s="18"/>
      <x:c r="F104" s="18"/>
      <x:c r="G104" s="18"/>
      <x:c r="H104" s="18"/>
      <x:c r="I104" s="18"/>
      <x:c r="J104" s="24"/>
      <x:c r="K104" s="24"/>
      <x:c r="L104" s="24"/>
      <x:c r="M104" s="24"/>
      <x:c r="N104" s="24"/>
      <x:c r="O104" s="18"/>
      <x:c r="P104" s="18"/>
      <x:c r="Q104" s="24"/>
      <x:c r="R104" s="28"/>
      <x:c r="S104" s="28"/>
      <x:c r="T104" s="18"/>
      <x:c r="U104" s="18"/>
      <x:c r="V104" s="18"/>
      <x:c r="W104" s="18"/>
    </x:row>
    <x:row r="105" ht="30" customHeight="1">
      <x:c r="A105" s="22"/>
      <x:c r="B105" s="18"/>
      <x:c r="C105" s="18"/>
      <x:c r="D105" s="18"/>
      <x:c r="E105" s="18"/>
      <x:c r="F105" s="18"/>
      <x:c r="G105" s="18"/>
      <x:c r="H105" s="18"/>
      <x:c r="I105" s="18"/>
      <x:c r="J105" s="24"/>
      <x:c r="K105" s="24"/>
      <x:c r="L105" s="24"/>
      <x:c r="M105" s="24"/>
      <x:c r="N105" s="24"/>
      <x:c r="O105" s="18"/>
      <x:c r="P105" s="18"/>
      <x:c r="Q105" s="24"/>
      <x:c r="R105" s="28"/>
      <x:c r="S105" s="28"/>
      <x:c r="T105" s="18"/>
      <x:c r="U105" s="18"/>
      <x:c r="V105" s="18"/>
      <x:c r="W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ccf3ee0b21ec479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3" hidden="0" customWidth="1"/>
    <x:col min="18" max="18" width="18" hidden="0" customWidth="1"/>
    <x:col min="19" max="19" width="18" hidden="0" customWidth="1"/>
  </x:cols>
  <x:sheetData>
    <x:row r="1" ht="34" customHeight="1">
      <x:c r="A1" s="3" t="str">
        <x:v>MONTHLY SUMMARY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Formula-linked page/landing summaries. Incomplete months and the historical GA4 gap require explicit comparison gates.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month_start</x:v>
      </x:c>
      <x:c r="B5" s="12" t="str">
        <x:v>target_country</x:v>
      </x:c>
      <x:c r="C5" s="12" t="str">
        <x:v>language</x:v>
      </x:c>
      <x:c r="D5" s="12" t="str">
        <x:v>gsc_rows</x:v>
      </x:c>
      <x:c r="E5" s="12" t="str">
        <x:v>clicks</x:v>
      </x:c>
      <x:c r="F5" s="12" t="str">
        <x:v>impressions</x:v>
      </x:c>
      <x:c r="G5" s="12" t="str">
        <x:v>ctr</x:v>
      </x:c>
      <x:c r="H5" s="12" t="str">
        <x:v>weighted_position</x:v>
      </x:c>
      <x:c r="I5" s="12" t="str">
        <x:v>ga4_rows</x:v>
      </x:c>
      <x:c r="J5" s="12" t="str">
        <x:v>organic_sessions</x:v>
      </x:c>
      <x:c r="K5" s="12" t="str">
        <x:v>engaged_sessions</x:v>
      </x:c>
      <x:c r="L5" s="12" t="str">
        <x:v>engagement_rate</x:v>
      </x:c>
      <x:c r="M5" s="12" t="str">
        <x:v>key_events</x:v>
      </x:c>
      <x:c r="N5" s="12" t="str">
        <x:v>booking_starts</x:v>
      </x:c>
      <x:c r="O5" s="12" t="str">
        <x:v>purchases</x:v>
      </x:c>
      <x:c r="P5" s="12" t="str">
        <x:v>revenue</x:v>
      </x:c>
      <x:c r="Q5" s="12" t="str">
        <x:v>currency</x:v>
      </x:c>
      <x:c r="R5" s="12" t="str">
        <x:v>reported_session_key_event_rate</x:v>
      </x:c>
      <x:c r="S5" s="12" t="str">
        <x:v>quality_status</x:v>
      </x:c>
    </x:row>
    <x:row r="6" ht="30" customHeight="1">
      <x:c r="A6" s="22" t="n">
        <x:v>46204</x:v>
      </x:c>
      <x:c r="B6" s="18" t="str">
        <x:v>Ireland</x:v>
      </x:c>
      <x:c r="C6" s="18" t="str">
        <x:v>en</x:v>
      </x:c>
      <x:c r="D6" s="18" t="n">
        <x:f>COUNTIFS(T09GSCPageDaily[target_country],$B6,T09GSCPageDaily[language],$C6,T09GSCPageDaily[date],"&gt;="&amp;$A6,T09GSCPageDaily[date],"&lt;"&amp;DATE(YEAR($A6),MONTH($A6)+1,1),T09GSCPageDaily[data_state],"final")</x:f>
        <x:v>0</x:v>
      </x:c>
      <x:c r="E6" s="24" t="str">
        <x:f>IF(D6=0,"",SUMIFS(T09GSCPageDaily[clicks],T09GSCPageDaily[target_country],$B6,T09GSCPageDaily[language],$C6,T09GSCPageDaily[date],"&gt;="&amp;$A6,T09GSCPageDaily[date],"&lt;"&amp;DATE(YEAR($A6),MONTH($A6)+1,1),T09GSCPageDaily[data_state],"final"))</x:f>
      </x:c>
      <x:c r="F6" s="24" t="str">
        <x:f>IF(D6=0,"",SUMIFS(T09GSCPageDaily[impressions],T09GSCPageDaily[target_country],$B6,T09GSCPageDaily[language],$C6,T09GSCPageDaily[date],"&gt;="&amp;$A6,T09GSCPageDaily[date],"&lt;"&amp;DATE(YEAR($A6),MONTH($A6)+1,1),T09GSCPageDaily[data_state],"final"))</x:f>
      </x:c>
      <x:c r="G6" s="28" t="str">
        <x:f>IFERROR(IF(D6=0,"",E6/F6),"")</x:f>
      </x:c>
      <x:c r="H6" s="26" t="str">
        <x:f>IF(D6=0,"",IFERROR(SUMPRODUCT((T09GSCPageDaily[target_country]=$B6)*(T09GSCPageDaily[language]=$C6)*(T09GSCPageDaily[date]&gt;=$A6)*(T09GSCPageDaily[date]&lt;DATE(YEAR($A6),MONTH($A6)+1,1))*(T09GSCPageDaily[data_state]="final")*T09GSCPageDaily[avg_position]*T09GSCPageDaily[impressions])/F6,""))</x:f>
      </x:c>
      <x:c r="I6" s="18" t="n">
        <x:f>COUNTIFS(T11GA4LandingDaily[target_country],$B6,T11GA4LandingDaily[language],$C6,T11GA4LandingDaily[date],"&gt;="&amp;$A6,T11GA4LandingDaily[date],"&lt;"&amp;DATE(YEAR($A6),MONTH($A6)+1,1),T11GA4LandingDaily[session_channel],"Organic Search",T11GA4LandingDaily[data_quality],"Measured")</x:f>
        <x:v>0</x:v>
      </x:c>
      <x:c r="J6" s="18" t="str">
        <x:f>IF(I6=0,"",SUMIFS(T11GA4LandingDaily[sessions],T11GA4LandingDaily[target_country],$B6,T11GA4LandingDaily[language],$C6,T11GA4LandingDaily[date],"&gt;="&amp;$A6,T11GA4LandingDaily[date],"&lt;"&amp;DATE(YEAR($A6),MONTH($A6)+1,1),T11GA4LandingDaily[session_channel],"Organic Search",T11GA4LandingDaily[data_quality],"Measured"))</x:f>
      </x:c>
      <x:c r="K6" s="24" t="str">
        <x:f>IF(I6=0,"",SUMIFS(T11GA4LandingDaily[engaged_sessions],T11GA4LandingDaily[target_country],$B6,T11GA4LandingDaily[language],$C6,T11GA4LandingDaily[date],"&gt;="&amp;$A6,T11GA4LandingDaily[date],"&lt;"&amp;DATE(YEAR($A6),MONTH($A6)+1,1),T11GA4LandingDaily[session_channel],"Organic Search",T11GA4LandingDaily[data_quality],"Measured"))</x:f>
      </x:c>
      <x:c r="L6" s="28" t="str">
        <x:f>IFERROR(IF(I6=0,"",K6/J6),"")</x:f>
      </x:c>
      <x:c r="M6" s="24" t="str">
        <x:f>IF(I6=0,"",SUMIFS(T11GA4LandingDaily[key_events],T11GA4LandingDaily[target_country],$B6,T11GA4LandingDaily[language],$C6,T11GA4LandingDaily[date],"&gt;="&amp;$A6,T11GA4LandingDaily[date],"&lt;"&amp;DATE(YEAR($A6),MONTH($A6)+1,1),T11GA4LandingDaily[session_channel],"Organic Search",T11GA4LandingDaily[data_quality],"Measured"))</x:f>
      </x:c>
      <x:c r="N6" s="24" t="str">
        <x:f>IF(I6=0,"",SUMIFS(T11GA4LandingDaily[booking_starts],T11GA4LandingDaily[target_country],$B6,T11GA4LandingDaily[language],$C6,T11GA4LandingDaily[date],"&gt;="&amp;$A6,T11GA4LandingDaily[date],"&lt;"&amp;DATE(YEAR($A6),MONTH($A6)+1,1),T11GA4LandingDaily[session_channel],"Organic Search",T11GA4LandingDaily[data_quality],"Measured"))</x:f>
      </x:c>
      <x:c r="O6" s="24" t="str">
        <x:f>IF(I6=0,"",SUMIFS(T11GA4LandingDaily[purchases],T11GA4LandingDaily[target_country],$B6,T11GA4LandingDaily[language],$C6,T11GA4LandingDaily[date],"&gt;="&amp;$A6,T11GA4LandingDaily[date],"&lt;"&amp;DATE(YEAR($A6),MONTH($A6)+1,1),T11GA4LandingDaily[session_channel],"Organic Search",T11GA4LandingDaily[data_quality],"Measured"))</x:f>
      </x:c>
      <x:c r="P6" s="18" t="str">
        <x:f>IF(OR(I6=0,'25_Config'!$B$11=""),"",IF(COUNTIFS(T11GA4LandingDaily[target_country],$B6,T11GA4LandingDaily[language],$C6,T11GA4LandingDaily[date],"&gt;="&amp;$A6,T11GA4LandingDaily[date],"&lt;"&amp;DATE(YEAR($A6),MONTH($A6)+1,1),T11GA4LandingDaily[session_channel],"Organic Search",T11GA4LandingDaily[data_quality],"Measured",T11GA4LandingDaily[currency],"&lt;&gt;"&amp;'25_Config'!$B$11)&gt;0,"",SUMIFS(T11GA4LandingDaily[purchase_revenue],T11GA4LandingDaily[target_country],$B6,T11GA4LandingDaily[language],$C6,T11GA4LandingDaily[date],"&gt;="&amp;$A6,T11GA4LandingDaily[date],"&lt;"&amp;DATE(YEAR($A6),MONTH($A6)+1,1),T11GA4LandingDaily[session_channel],"Organic Search",T11GA4LandingDaily[data_quality],"Measured")))</x:f>
      </x:c>
      <x:c r="Q6" s="18" t="str">
        <x:f>IF(P6="","",'25_Config'!$B$11)</x:f>
      </x:c>
      <x:c r="R6" s="28"/>
      <x:c r="S6" s="18" t="str">
        <x:f>IF(AND(D6=0,I6=0),"Not refreshed","Check completeness, gaps and sample size")</x:f>
        <x:v>Not refreshed</x:v>
      </x:c>
    </x:row>
    <x:row r="7" ht="30" customHeight="1">
      <x:c r="A7" s="22" t="n">
        <x:v>46204</x:v>
      </x:c>
      <x:c r="B7" s="18" t="str">
        <x:v>Ireland</x:v>
      </x:c>
      <x:c r="C7" s="18" t="str">
        <x:v>pt</x:v>
      </x:c>
      <x:c r="D7" s="18" t="n">
        <x:f>COUNTIFS(T09GSCPageDaily[target_country],$B7,T09GSCPageDaily[language],$C7,T09GSCPageDaily[date],"&gt;="&amp;$A7,T09GSCPageDaily[date],"&lt;"&amp;DATE(YEAR($A7),MONTH($A7)+1,1),T09GSCPageDaily[data_state],"final")</x:f>
        <x:v>0</x:v>
      </x:c>
      <x:c r="E7" s="24" t="str">
        <x:f>IF(D7=0,"",SUMIFS(T09GSCPageDaily[clicks],T09GSCPageDaily[target_country],$B7,T09GSCPageDaily[language],$C7,T09GSCPageDaily[date],"&gt;="&amp;$A7,T09GSCPageDaily[date],"&lt;"&amp;DATE(YEAR($A7),MONTH($A7)+1,1),T09GSCPageDaily[data_state],"final"))</x:f>
      </x:c>
      <x:c r="F7" s="24" t="str">
        <x:f>IF(D7=0,"",SUMIFS(T09GSCPageDaily[impressions],T09GSCPageDaily[target_country],$B7,T09GSCPageDaily[language],$C7,T09GSCPageDaily[date],"&gt;="&amp;$A7,T09GSCPageDaily[date],"&lt;"&amp;DATE(YEAR($A7),MONTH($A7)+1,1),T09GSCPageDaily[data_state],"final"))</x:f>
      </x:c>
      <x:c r="G7" s="28" t="str">
        <x:f>IFERROR(IF(D7=0,"",E7/F7),"")</x:f>
      </x:c>
      <x:c r="H7" s="26" t="str">
        <x:f>IF(D7=0,"",IFERROR(SUMPRODUCT((T09GSCPageDaily[target_country]=$B7)*(T09GSCPageDaily[language]=$C7)*(T09GSCPageDaily[date]&gt;=$A7)*(T09GSCPageDaily[date]&lt;DATE(YEAR($A7),MONTH($A7)+1,1))*(T09GSCPageDaily[data_state]="final")*T09GSCPageDaily[avg_position]*T09GSCPageDaily[impressions])/F7,""))</x:f>
      </x:c>
      <x:c r="I7" s="18" t="n">
        <x:f>COUNTIFS(T11GA4LandingDaily[target_country],$B7,T11GA4LandingDaily[language],$C7,T11GA4LandingDaily[date],"&gt;="&amp;$A7,T11GA4LandingDaily[date],"&lt;"&amp;DATE(YEAR($A7),MONTH($A7)+1,1),T11GA4LandingDaily[session_channel],"Organic Search",T11GA4LandingDaily[data_quality],"Measured")</x:f>
        <x:v>0</x:v>
      </x:c>
      <x:c r="J7" s="18" t="str">
        <x:f>IF(I7=0,"",SUMIFS(T11GA4LandingDaily[sessions],T11GA4LandingDaily[target_country],$B7,T11GA4LandingDaily[language],$C7,T11GA4LandingDaily[date],"&gt;="&amp;$A7,T11GA4LandingDaily[date],"&lt;"&amp;DATE(YEAR($A7),MONTH($A7)+1,1),T11GA4LandingDaily[session_channel],"Organic Search",T11GA4LandingDaily[data_quality],"Measured"))</x:f>
      </x:c>
      <x:c r="K7" s="24" t="str">
        <x:f>IF(I7=0,"",SUMIFS(T11GA4LandingDaily[engaged_sessions],T11GA4LandingDaily[target_country],$B7,T11GA4LandingDaily[language],$C7,T11GA4LandingDaily[date],"&gt;="&amp;$A7,T11GA4LandingDaily[date],"&lt;"&amp;DATE(YEAR($A7),MONTH($A7)+1,1),T11GA4LandingDaily[session_channel],"Organic Search",T11GA4LandingDaily[data_quality],"Measured"))</x:f>
      </x:c>
      <x:c r="L7" s="28" t="str">
        <x:f>IFERROR(IF(I7=0,"",K7/J7),"")</x:f>
      </x:c>
      <x:c r="M7" s="24" t="str">
        <x:f>IF(I7=0,"",SUMIFS(T11GA4LandingDaily[key_events],T11GA4LandingDaily[target_country],$B7,T11GA4LandingDaily[language],$C7,T11GA4LandingDaily[date],"&gt;="&amp;$A7,T11GA4LandingDaily[date],"&lt;"&amp;DATE(YEAR($A7),MONTH($A7)+1,1),T11GA4LandingDaily[session_channel],"Organic Search",T11GA4LandingDaily[data_quality],"Measured"))</x:f>
      </x:c>
      <x:c r="N7" s="24" t="str">
        <x:f>IF(I7=0,"",SUMIFS(T11GA4LandingDaily[booking_starts],T11GA4LandingDaily[target_country],$B7,T11GA4LandingDaily[language],$C7,T11GA4LandingDaily[date],"&gt;="&amp;$A7,T11GA4LandingDaily[date],"&lt;"&amp;DATE(YEAR($A7),MONTH($A7)+1,1),T11GA4LandingDaily[session_channel],"Organic Search",T11GA4LandingDaily[data_quality],"Measured"))</x:f>
      </x:c>
      <x:c r="O7" s="24" t="str">
        <x:f>IF(I7=0,"",SUMIFS(T11GA4LandingDaily[purchases],T11GA4LandingDaily[target_country],$B7,T11GA4LandingDaily[language],$C7,T11GA4LandingDaily[date],"&gt;="&amp;$A7,T11GA4LandingDaily[date],"&lt;"&amp;DATE(YEAR($A7),MONTH($A7)+1,1),T11GA4LandingDaily[session_channel],"Organic Search",T11GA4LandingDaily[data_quality],"Measured"))</x:f>
      </x:c>
      <x:c r="P7" s="18" t="str">
        <x:f>IF(OR(I7=0,'25_Config'!$B$11=""),"",IF(COUNTIFS(T11GA4LandingDaily[target_country],$B7,T11GA4LandingDaily[language],$C7,T11GA4LandingDaily[date],"&gt;="&amp;$A7,T11GA4LandingDaily[date],"&lt;"&amp;DATE(YEAR($A7),MONTH($A7)+1,1),T11GA4LandingDaily[session_channel],"Organic Search",T11GA4LandingDaily[data_quality],"Measured",T11GA4LandingDaily[currency],"&lt;&gt;"&amp;'25_Config'!$B$11)&gt;0,"",SUMIFS(T11GA4LandingDaily[purchase_revenue],T11GA4LandingDaily[target_country],$B7,T11GA4LandingDaily[language],$C7,T11GA4LandingDaily[date],"&gt;="&amp;$A7,T11GA4LandingDaily[date],"&lt;"&amp;DATE(YEAR($A7),MONTH($A7)+1,1),T11GA4LandingDaily[session_channel],"Organic Search",T11GA4LandingDaily[data_quality],"Measured")))</x:f>
      </x:c>
      <x:c r="Q7" s="18" t="str">
        <x:f>IF(P7="","",'25_Config'!$B$11)</x:f>
      </x:c>
      <x:c r="R7" s="28"/>
      <x:c r="S7" s="18" t="str">
        <x:f>IF(AND(D7=0,I7=0),"Not refreshed","Check completeness, gaps and sample size")</x:f>
        <x:v>Not refreshed</x:v>
      </x:c>
    </x:row>
    <x:row r="8" ht="30" customHeight="1">
      <x:c r="A8" s="22" t="n">
        <x:v>46204</x:v>
      </x:c>
      <x:c r="B8" s="18" t="str">
        <x:v>Ireland</x:v>
      </x:c>
      <x:c r="C8" s="18" t="str">
        <x:v>es</x:v>
      </x:c>
      <x:c r="D8" s="18" t="n">
        <x:f>COUNTIFS(T09GSCPageDaily[target_country],$B8,T09GSCPageDaily[language],$C8,T09GSCPageDaily[date],"&gt;="&amp;$A8,T09GSCPageDaily[date],"&lt;"&amp;DATE(YEAR($A8),MONTH($A8)+1,1),T09GSCPageDaily[data_state],"final")</x:f>
        <x:v>0</x:v>
      </x:c>
      <x:c r="E8" s="24" t="str">
        <x:f>IF(D8=0,"",SUMIFS(T09GSCPageDaily[clicks],T09GSCPageDaily[target_country],$B8,T09GSCPageDaily[language],$C8,T09GSCPageDaily[date],"&gt;="&amp;$A8,T09GSCPageDaily[date],"&lt;"&amp;DATE(YEAR($A8),MONTH($A8)+1,1),T09GSCPageDaily[data_state],"final"))</x:f>
      </x:c>
      <x:c r="F8" s="24" t="str">
        <x:f>IF(D8=0,"",SUMIFS(T09GSCPageDaily[impressions],T09GSCPageDaily[target_country],$B8,T09GSCPageDaily[language],$C8,T09GSCPageDaily[date],"&gt;="&amp;$A8,T09GSCPageDaily[date],"&lt;"&amp;DATE(YEAR($A8),MONTH($A8)+1,1),T09GSCPageDaily[data_state],"final"))</x:f>
      </x:c>
      <x:c r="G8" s="28" t="str">
        <x:f>IFERROR(IF(D8=0,"",E8/F8),"")</x:f>
      </x:c>
      <x:c r="H8" s="26" t="str">
        <x:f>IF(D8=0,"",IFERROR(SUMPRODUCT((T09GSCPageDaily[target_country]=$B8)*(T09GSCPageDaily[language]=$C8)*(T09GSCPageDaily[date]&gt;=$A8)*(T09GSCPageDaily[date]&lt;DATE(YEAR($A8),MONTH($A8)+1,1))*(T09GSCPageDaily[data_state]="final")*T09GSCPageDaily[avg_position]*T09GSCPageDaily[impressions])/F8,""))</x:f>
      </x:c>
      <x:c r="I8" s="18" t="n">
        <x:f>COUNTIFS(T11GA4LandingDaily[target_country],$B8,T11GA4LandingDaily[language],$C8,T11GA4LandingDaily[date],"&gt;="&amp;$A8,T11GA4LandingDaily[date],"&lt;"&amp;DATE(YEAR($A8),MONTH($A8)+1,1),T11GA4LandingDaily[session_channel],"Organic Search",T11GA4LandingDaily[data_quality],"Measured")</x:f>
        <x:v>0</x:v>
      </x:c>
      <x:c r="J8" s="18" t="str">
        <x:f>IF(I8=0,"",SUMIFS(T11GA4LandingDaily[sessions],T11GA4LandingDaily[target_country],$B8,T11GA4LandingDaily[language],$C8,T11GA4LandingDaily[date],"&gt;="&amp;$A8,T11GA4LandingDaily[date],"&lt;"&amp;DATE(YEAR($A8),MONTH($A8)+1,1),T11GA4LandingDaily[session_channel],"Organic Search",T11GA4LandingDaily[data_quality],"Measured"))</x:f>
      </x:c>
      <x:c r="K8" s="24" t="str">
        <x:f>IF(I8=0,"",SUMIFS(T11GA4LandingDaily[engaged_sessions],T11GA4LandingDaily[target_country],$B8,T11GA4LandingDaily[language],$C8,T11GA4LandingDaily[date],"&gt;="&amp;$A8,T11GA4LandingDaily[date],"&lt;"&amp;DATE(YEAR($A8),MONTH($A8)+1,1),T11GA4LandingDaily[session_channel],"Organic Search",T11GA4LandingDaily[data_quality],"Measured"))</x:f>
      </x:c>
      <x:c r="L8" s="28" t="str">
        <x:f>IFERROR(IF(I8=0,"",K8/J8),"")</x:f>
      </x:c>
      <x:c r="M8" s="24" t="str">
        <x:f>IF(I8=0,"",SUMIFS(T11GA4LandingDaily[key_events],T11GA4LandingDaily[target_country],$B8,T11GA4LandingDaily[language],$C8,T11GA4LandingDaily[date],"&gt;="&amp;$A8,T11GA4LandingDaily[date],"&lt;"&amp;DATE(YEAR($A8),MONTH($A8)+1,1),T11GA4LandingDaily[session_channel],"Organic Search",T11GA4LandingDaily[data_quality],"Measured"))</x:f>
      </x:c>
      <x:c r="N8" s="24" t="str">
        <x:f>IF(I8=0,"",SUMIFS(T11GA4LandingDaily[booking_starts],T11GA4LandingDaily[target_country],$B8,T11GA4LandingDaily[language],$C8,T11GA4LandingDaily[date],"&gt;="&amp;$A8,T11GA4LandingDaily[date],"&lt;"&amp;DATE(YEAR($A8),MONTH($A8)+1,1),T11GA4LandingDaily[session_channel],"Organic Search",T11GA4LandingDaily[data_quality],"Measured"))</x:f>
      </x:c>
      <x:c r="O8" s="24" t="str">
        <x:f>IF(I8=0,"",SUMIFS(T11GA4LandingDaily[purchases],T11GA4LandingDaily[target_country],$B8,T11GA4LandingDaily[language],$C8,T11GA4LandingDaily[date],"&gt;="&amp;$A8,T11GA4LandingDaily[date],"&lt;"&amp;DATE(YEAR($A8),MONTH($A8)+1,1),T11GA4LandingDaily[session_channel],"Organic Search",T11GA4LandingDaily[data_quality],"Measured"))</x:f>
      </x:c>
      <x:c r="P8" s="18" t="str">
        <x:f>IF(OR(I8=0,'25_Config'!$B$11=""),"",IF(COUNTIFS(T11GA4LandingDaily[target_country],$B8,T11GA4LandingDaily[language],$C8,T11GA4LandingDaily[date],"&gt;="&amp;$A8,T11GA4LandingDaily[date],"&lt;"&amp;DATE(YEAR($A8),MONTH($A8)+1,1),T11GA4LandingDaily[session_channel],"Organic Search",T11GA4LandingDaily[data_quality],"Measured",T11GA4LandingDaily[currency],"&lt;&gt;"&amp;'25_Config'!$B$11)&gt;0,"",SUMIFS(T11GA4LandingDaily[purchase_revenue],T11GA4LandingDaily[target_country],$B8,T11GA4LandingDaily[language],$C8,T11GA4LandingDaily[date],"&gt;="&amp;$A8,T11GA4LandingDaily[date],"&lt;"&amp;DATE(YEAR($A8),MONTH($A8)+1,1),T11GA4LandingDaily[session_channel],"Organic Search",T11GA4LandingDaily[data_quality],"Measured")))</x:f>
      </x:c>
      <x:c r="Q8" s="18" t="str">
        <x:f>IF(P8="","",'25_Config'!$B$11)</x:f>
      </x:c>
      <x:c r="R8" s="28"/>
      <x:c r="S8" s="18" t="str">
        <x:f>IF(AND(D8=0,I8=0),"Not refreshed","Check completeness, gaps and sample size")</x:f>
        <x:v>Not refreshed</x:v>
      </x:c>
    </x:row>
    <x:row r="9" ht="30" customHeight="1">
      <x:c r="A9" s="22" t="n">
        <x:v>46204</x:v>
      </x:c>
      <x:c r="B9" s="18" t="str">
        <x:v>Ireland</x:v>
      </x:c>
      <x:c r="C9" s="18" t="str">
        <x:v>cs</x:v>
      </x:c>
      <x:c r="D9" s="18" t="n">
        <x:f>COUNTIFS(T09GSCPageDaily[target_country],$B9,T09GSCPageDaily[language],$C9,T09GSCPageDaily[date],"&gt;="&amp;$A9,T09GSCPageDaily[date],"&lt;"&amp;DATE(YEAR($A9),MONTH($A9)+1,1),T09GSCPageDaily[data_state],"final")</x:f>
        <x:v>0</x:v>
      </x:c>
      <x:c r="E9" s="24" t="str">
        <x:f>IF(D9=0,"",SUMIFS(T09GSCPageDaily[clicks],T09GSCPageDaily[target_country],$B9,T09GSCPageDaily[language],$C9,T09GSCPageDaily[date],"&gt;="&amp;$A9,T09GSCPageDaily[date],"&lt;"&amp;DATE(YEAR($A9),MONTH($A9)+1,1),T09GSCPageDaily[data_state],"final"))</x:f>
      </x:c>
      <x:c r="F9" s="24" t="str">
        <x:f>IF(D9=0,"",SUMIFS(T09GSCPageDaily[impressions],T09GSCPageDaily[target_country],$B9,T09GSCPageDaily[language],$C9,T09GSCPageDaily[date],"&gt;="&amp;$A9,T09GSCPageDaily[date],"&lt;"&amp;DATE(YEAR($A9),MONTH($A9)+1,1),T09GSCPageDaily[data_state],"final"))</x:f>
      </x:c>
      <x:c r="G9" s="28" t="str">
        <x:f>IFERROR(IF(D9=0,"",E9/F9),"")</x:f>
      </x:c>
      <x:c r="H9" s="26" t="str">
        <x:f>IF(D9=0,"",IFERROR(SUMPRODUCT((T09GSCPageDaily[target_country]=$B9)*(T09GSCPageDaily[language]=$C9)*(T09GSCPageDaily[date]&gt;=$A9)*(T09GSCPageDaily[date]&lt;DATE(YEAR($A9),MONTH($A9)+1,1))*(T09GSCPageDaily[data_state]="final")*T09GSCPageDaily[avg_position]*T09GSCPageDaily[impressions])/F9,""))</x:f>
      </x:c>
      <x:c r="I9" s="18" t="n">
        <x:f>COUNTIFS(T11GA4LandingDaily[target_country],$B9,T11GA4LandingDaily[language],$C9,T11GA4LandingDaily[date],"&gt;="&amp;$A9,T11GA4LandingDaily[date],"&lt;"&amp;DATE(YEAR($A9),MONTH($A9)+1,1),T11GA4LandingDaily[session_channel],"Organic Search",T11GA4LandingDaily[data_quality],"Measured")</x:f>
        <x:v>0</x:v>
      </x:c>
      <x:c r="J9" s="18" t="str">
        <x:f>IF(I9=0,"",SUMIFS(T11GA4LandingDaily[sessions],T11GA4LandingDaily[target_country],$B9,T11GA4LandingDaily[language],$C9,T11GA4LandingDaily[date],"&gt;="&amp;$A9,T11GA4LandingDaily[date],"&lt;"&amp;DATE(YEAR($A9),MONTH($A9)+1,1),T11GA4LandingDaily[session_channel],"Organic Search",T11GA4LandingDaily[data_quality],"Measured"))</x:f>
      </x:c>
      <x:c r="K9" s="24" t="str">
        <x:f>IF(I9=0,"",SUMIFS(T11GA4LandingDaily[engaged_sessions],T11GA4LandingDaily[target_country],$B9,T11GA4LandingDaily[language],$C9,T11GA4LandingDaily[date],"&gt;="&amp;$A9,T11GA4LandingDaily[date],"&lt;"&amp;DATE(YEAR($A9),MONTH($A9)+1,1),T11GA4LandingDaily[session_channel],"Organic Search",T11GA4LandingDaily[data_quality],"Measured"))</x:f>
      </x:c>
      <x:c r="L9" s="28" t="str">
        <x:f>IFERROR(IF(I9=0,"",K9/J9),"")</x:f>
      </x:c>
      <x:c r="M9" s="24" t="str">
        <x:f>IF(I9=0,"",SUMIFS(T11GA4LandingDaily[key_events],T11GA4LandingDaily[target_country],$B9,T11GA4LandingDaily[language],$C9,T11GA4LandingDaily[date],"&gt;="&amp;$A9,T11GA4LandingDaily[date],"&lt;"&amp;DATE(YEAR($A9),MONTH($A9)+1,1),T11GA4LandingDaily[session_channel],"Organic Search",T11GA4LandingDaily[data_quality],"Measured"))</x:f>
      </x:c>
      <x:c r="N9" s="24" t="str">
        <x:f>IF(I9=0,"",SUMIFS(T11GA4LandingDaily[booking_starts],T11GA4LandingDaily[target_country],$B9,T11GA4LandingDaily[language],$C9,T11GA4LandingDaily[date],"&gt;="&amp;$A9,T11GA4LandingDaily[date],"&lt;"&amp;DATE(YEAR($A9),MONTH($A9)+1,1),T11GA4LandingDaily[session_channel],"Organic Search",T11GA4LandingDaily[data_quality],"Measured"))</x:f>
      </x:c>
      <x:c r="O9" s="24" t="str">
        <x:f>IF(I9=0,"",SUMIFS(T11GA4LandingDaily[purchases],T11GA4LandingDaily[target_country],$B9,T11GA4LandingDaily[language],$C9,T11GA4LandingDaily[date],"&gt;="&amp;$A9,T11GA4LandingDaily[date],"&lt;"&amp;DATE(YEAR($A9),MONTH($A9)+1,1),T11GA4LandingDaily[session_channel],"Organic Search",T11GA4LandingDaily[data_quality],"Measured"))</x:f>
      </x:c>
      <x:c r="P9" s="18" t="str">
        <x:f>IF(OR(I9=0,'25_Config'!$B$11=""),"",IF(COUNTIFS(T11GA4LandingDaily[target_country],$B9,T11GA4LandingDaily[language],$C9,T11GA4LandingDaily[date],"&gt;="&amp;$A9,T11GA4LandingDaily[date],"&lt;"&amp;DATE(YEAR($A9),MONTH($A9)+1,1),T11GA4LandingDaily[session_channel],"Organic Search",T11GA4LandingDaily[data_quality],"Measured",T11GA4LandingDaily[currency],"&lt;&gt;"&amp;'25_Config'!$B$11)&gt;0,"",SUMIFS(T11GA4LandingDaily[purchase_revenue],T11GA4LandingDaily[target_country],$B9,T11GA4LandingDaily[language],$C9,T11GA4LandingDaily[date],"&gt;="&amp;$A9,T11GA4LandingDaily[date],"&lt;"&amp;DATE(YEAR($A9),MONTH($A9)+1,1),T11GA4LandingDaily[session_channel],"Organic Search",T11GA4LandingDaily[data_quality],"Measured")))</x:f>
      </x:c>
      <x:c r="Q9" s="18" t="str">
        <x:f>IF(P9="","",'25_Config'!$B$11)</x:f>
      </x:c>
      <x:c r="R9" s="28"/>
      <x:c r="S9" s="18" t="str">
        <x:f>IF(AND(D9=0,I9=0),"Not refreshed","Check completeness, gaps and sample size")</x:f>
        <x:v>Not refreshed</x:v>
      </x:c>
    </x:row>
    <x:row r="10" ht="30" customHeight="1">
      <x:c r="A10" s="22" t="n">
        <x:v>46204</x:v>
      </x:c>
      <x:c r="B10" s="18" t="str">
        <x:v>Ireland</x:v>
      </x:c>
      <x:c r="C10" s="18" t="str">
        <x:v>ro</x:v>
      </x:c>
      <x:c r="D10" s="18" t="n">
        <x:f>COUNTIFS(T09GSCPageDaily[target_country],$B10,T09GSCPageDaily[language],$C10,T09GSCPageDaily[date],"&gt;="&amp;$A10,T09GSCPageDaily[date],"&lt;"&amp;DATE(YEAR($A10),MONTH($A10)+1,1),T09GSCPageDaily[data_state],"final")</x:f>
        <x:v>0</x:v>
      </x:c>
      <x:c r="E10" s="24" t="str">
        <x:f>IF(D10=0,"",SUMIFS(T09GSCPageDaily[clicks],T09GSCPageDaily[target_country],$B10,T09GSCPageDaily[language],$C10,T09GSCPageDaily[date],"&gt;="&amp;$A10,T09GSCPageDaily[date],"&lt;"&amp;DATE(YEAR($A10),MONTH($A10)+1,1),T09GSCPageDaily[data_state],"final"))</x:f>
      </x:c>
      <x:c r="F10" s="24" t="str">
        <x:f>IF(D10=0,"",SUMIFS(T09GSCPageDaily[impressions],T09GSCPageDaily[target_country],$B10,T09GSCPageDaily[language],$C10,T09GSCPageDaily[date],"&gt;="&amp;$A10,T09GSCPageDaily[date],"&lt;"&amp;DATE(YEAR($A10),MONTH($A10)+1,1),T09GSCPageDaily[data_state],"final"))</x:f>
      </x:c>
      <x:c r="G10" s="28" t="str">
        <x:f>IFERROR(IF(D10=0,"",E10/F10),"")</x:f>
      </x:c>
      <x:c r="H10" s="26" t="str">
        <x:f>IF(D10=0,"",IFERROR(SUMPRODUCT((T09GSCPageDaily[target_country]=$B10)*(T09GSCPageDaily[language]=$C10)*(T09GSCPageDaily[date]&gt;=$A10)*(T09GSCPageDaily[date]&lt;DATE(YEAR($A10),MONTH($A10)+1,1))*(T09GSCPageDaily[data_state]="final")*T09GSCPageDaily[avg_position]*T09GSCPageDaily[impressions])/F10,""))</x:f>
      </x:c>
      <x:c r="I10" s="18" t="n">
        <x:f>COUNTIFS(T11GA4LandingDaily[target_country],$B10,T11GA4LandingDaily[language],$C10,T11GA4LandingDaily[date],"&gt;="&amp;$A10,T11GA4LandingDaily[date],"&lt;"&amp;DATE(YEAR($A10),MONTH($A10)+1,1),T11GA4LandingDaily[session_channel],"Organic Search",T11GA4LandingDaily[data_quality],"Measured")</x:f>
        <x:v>0</x:v>
      </x:c>
      <x:c r="J10" s="18" t="str">
        <x:f>IF(I10=0,"",SUMIFS(T11GA4LandingDaily[sessions],T11GA4LandingDaily[target_country],$B10,T11GA4LandingDaily[language],$C10,T11GA4LandingDaily[date],"&gt;="&amp;$A10,T11GA4LandingDaily[date],"&lt;"&amp;DATE(YEAR($A10),MONTH($A10)+1,1),T11GA4LandingDaily[session_channel],"Organic Search",T11GA4LandingDaily[data_quality],"Measured"))</x:f>
      </x:c>
      <x:c r="K10" s="24" t="str">
        <x:f>IF(I10=0,"",SUMIFS(T11GA4LandingDaily[engaged_sessions],T11GA4LandingDaily[target_country],$B10,T11GA4LandingDaily[language],$C10,T11GA4LandingDaily[date],"&gt;="&amp;$A10,T11GA4LandingDaily[date],"&lt;"&amp;DATE(YEAR($A10),MONTH($A10)+1,1),T11GA4LandingDaily[session_channel],"Organic Search",T11GA4LandingDaily[data_quality],"Measured"))</x:f>
      </x:c>
      <x:c r="L10" s="28" t="str">
        <x:f>IFERROR(IF(I10=0,"",K10/J10),"")</x:f>
      </x:c>
      <x:c r="M10" s="24" t="str">
        <x:f>IF(I10=0,"",SUMIFS(T11GA4LandingDaily[key_events],T11GA4LandingDaily[target_country],$B10,T11GA4LandingDaily[language],$C10,T11GA4LandingDaily[date],"&gt;="&amp;$A10,T11GA4LandingDaily[date],"&lt;"&amp;DATE(YEAR($A10),MONTH($A10)+1,1),T11GA4LandingDaily[session_channel],"Organic Search",T11GA4LandingDaily[data_quality],"Measured"))</x:f>
      </x:c>
      <x:c r="N10" s="24" t="str">
        <x:f>IF(I10=0,"",SUMIFS(T11GA4LandingDaily[booking_starts],T11GA4LandingDaily[target_country],$B10,T11GA4LandingDaily[language],$C10,T11GA4LandingDaily[date],"&gt;="&amp;$A10,T11GA4LandingDaily[date],"&lt;"&amp;DATE(YEAR($A10),MONTH($A10)+1,1),T11GA4LandingDaily[session_channel],"Organic Search",T11GA4LandingDaily[data_quality],"Measured"))</x:f>
      </x:c>
      <x:c r="O10" s="24" t="str">
        <x:f>IF(I10=0,"",SUMIFS(T11GA4LandingDaily[purchases],T11GA4LandingDaily[target_country],$B10,T11GA4LandingDaily[language],$C10,T11GA4LandingDaily[date],"&gt;="&amp;$A10,T11GA4LandingDaily[date],"&lt;"&amp;DATE(YEAR($A10),MONTH($A10)+1,1),T11GA4LandingDaily[session_channel],"Organic Search",T11GA4LandingDaily[data_quality],"Measured"))</x:f>
      </x:c>
      <x:c r="P10" s="18" t="str">
        <x:f>IF(OR(I10=0,'25_Config'!$B$11=""),"",IF(COUNTIFS(T11GA4LandingDaily[target_country],$B10,T11GA4LandingDaily[language],$C10,T11GA4LandingDaily[date],"&gt;="&amp;$A10,T11GA4LandingDaily[date],"&lt;"&amp;DATE(YEAR($A10),MONTH($A10)+1,1),T11GA4LandingDaily[session_channel],"Organic Search",T11GA4LandingDaily[data_quality],"Measured",T11GA4LandingDaily[currency],"&lt;&gt;"&amp;'25_Config'!$B$11)&gt;0,"",SUMIFS(T11GA4LandingDaily[purchase_revenue],T11GA4LandingDaily[target_country],$B10,T11GA4LandingDaily[language],$C10,T11GA4LandingDaily[date],"&gt;="&amp;$A10,T11GA4LandingDaily[date],"&lt;"&amp;DATE(YEAR($A10),MONTH($A10)+1,1),T11GA4LandingDaily[session_channel],"Organic Search",T11GA4LandingDaily[data_quality],"Measured")))</x:f>
      </x:c>
      <x:c r="Q10" s="18" t="str">
        <x:f>IF(P10="","",'25_Config'!$B$11)</x:f>
      </x:c>
      <x:c r="R10" s="28"/>
      <x:c r="S10" s="18" t="str">
        <x:f>IF(AND(D10=0,I10=0),"Not refreshed","Check completeness, gaps and sample size")</x:f>
        <x:v>Not refreshed</x:v>
      </x:c>
    </x:row>
    <x:row r="11" ht="30" customHeight="1">
      <x:c r="A11" s="22" t="n">
        <x:v>46204</x:v>
      </x:c>
      <x:c r="B11" s="18" t="str">
        <x:v>Ireland</x:v>
      </x:c>
      <x:c r="C11" s="18" t="str">
        <x:v>de</x:v>
      </x:c>
      <x:c r="D11" s="18" t="n">
        <x:f>COUNTIFS(T09GSCPageDaily[target_country],$B11,T09GSCPageDaily[language],$C11,T09GSCPageDaily[date],"&gt;="&amp;$A11,T09GSCPageDaily[date],"&lt;"&amp;DATE(YEAR($A11),MONTH($A11)+1,1),T09GSCPageDaily[data_state],"final")</x:f>
        <x:v>0</x:v>
      </x:c>
      <x:c r="E11" s="24" t="str">
        <x:f>IF(D11=0,"",SUMIFS(T09GSCPageDaily[clicks],T09GSCPageDaily[target_country],$B11,T09GSCPageDaily[language],$C11,T09GSCPageDaily[date],"&gt;="&amp;$A11,T09GSCPageDaily[date],"&lt;"&amp;DATE(YEAR($A11),MONTH($A11)+1,1),T09GSCPageDaily[data_state],"final"))</x:f>
      </x:c>
      <x:c r="F11" s="24" t="str">
        <x:f>IF(D11=0,"",SUMIFS(T09GSCPageDaily[impressions],T09GSCPageDaily[target_country],$B11,T09GSCPageDaily[language],$C11,T09GSCPageDaily[date],"&gt;="&amp;$A11,T09GSCPageDaily[date],"&lt;"&amp;DATE(YEAR($A11),MONTH($A11)+1,1),T09GSCPageDaily[data_state],"final"))</x:f>
      </x:c>
      <x:c r="G11" s="28" t="str">
        <x:f>IFERROR(IF(D11=0,"",E11/F11),"")</x:f>
      </x:c>
      <x:c r="H11" s="26" t="str">
        <x:f>IF(D11=0,"",IFERROR(SUMPRODUCT((T09GSCPageDaily[target_country]=$B11)*(T09GSCPageDaily[language]=$C11)*(T09GSCPageDaily[date]&gt;=$A11)*(T09GSCPageDaily[date]&lt;DATE(YEAR($A11),MONTH($A11)+1,1))*(T09GSCPageDaily[data_state]="final")*T09GSCPageDaily[avg_position]*T09GSCPageDaily[impressions])/F11,""))</x:f>
      </x:c>
      <x:c r="I11" s="18" t="n">
        <x:f>COUNTIFS(T11GA4LandingDaily[target_country],$B11,T11GA4LandingDaily[language],$C11,T11GA4LandingDaily[date],"&gt;="&amp;$A11,T11GA4LandingDaily[date],"&lt;"&amp;DATE(YEAR($A11),MONTH($A11)+1,1),T11GA4LandingDaily[session_channel],"Organic Search",T11GA4LandingDaily[data_quality],"Measured")</x:f>
        <x:v>0</x:v>
      </x:c>
      <x:c r="J11" s="18" t="str">
        <x:f>IF(I11=0,"",SUMIFS(T11GA4LandingDaily[sessions],T11GA4LandingDaily[target_country],$B11,T11GA4LandingDaily[language],$C11,T11GA4LandingDaily[date],"&gt;="&amp;$A11,T11GA4LandingDaily[date],"&lt;"&amp;DATE(YEAR($A11),MONTH($A11)+1,1),T11GA4LandingDaily[session_channel],"Organic Search",T11GA4LandingDaily[data_quality],"Measured"))</x:f>
      </x:c>
      <x:c r="K11" s="24" t="str">
        <x:f>IF(I11=0,"",SUMIFS(T11GA4LandingDaily[engaged_sessions],T11GA4LandingDaily[target_country],$B11,T11GA4LandingDaily[language],$C11,T11GA4LandingDaily[date],"&gt;="&amp;$A11,T11GA4LandingDaily[date],"&lt;"&amp;DATE(YEAR($A11),MONTH($A11)+1,1),T11GA4LandingDaily[session_channel],"Organic Search",T11GA4LandingDaily[data_quality],"Measured"))</x:f>
      </x:c>
      <x:c r="L11" s="28" t="str">
        <x:f>IFERROR(IF(I11=0,"",K11/J11),"")</x:f>
      </x:c>
      <x:c r="M11" s="24" t="str">
        <x:f>IF(I11=0,"",SUMIFS(T11GA4LandingDaily[key_events],T11GA4LandingDaily[target_country],$B11,T11GA4LandingDaily[language],$C11,T11GA4LandingDaily[date],"&gt;="&amp;$A11,T11GA4LandingDaily[date],"&lt;"&amp;DATE(YEAR($A11),MONTH($A11)+1,1),T11GA4LandingDaily[session_channel],"Organic Search",T11GA4LandingDaily[data_quality],"Measured"))</x:f>
      </x:c>
      <x:c r="N11" s="24" t="str">
        <x:f>IF(I11=0,"",SUMIFS(T11GA4LandingDaily[booking_starts],T11GA4LandingDaily[target_country],$B11,T11GA4LandingDaily[language],$C11,T11GA4LandingDaily[date],"&gt;="&amp;$A11,T11GA4LandingDaily[date],"&lt;"&amp;DATE(YEAR($A11),MONTH($A11)+1,1),T11GA4LandingDaily[session_channel],"Organic Search",T11GA4LandingDaily[data_quality],"Measured"))</x:f>
      </x:c>
      <x:c r="O11" s="24" t="str">
        <x:f>IF(I11=0,"",SUMIFS(T11GA4LandingDaily[purchases],T11GA4LandingDaily[target_country],$B11,T11GA4LandingDaily[language],$C11,T11GA4LandingDaily[date],"&gt;="&amp;$A11,T11GA4LandingDaily[date],"&lt;"&amp;DATE(YEAR($A11),MONTH($A11)+1,1),T11GA4LandingDaily[session_channel],"Organic Search",T11GA4LandingDaily[data_quality],"Measured"))</x:f>
      </x:c>
      <x:c r="P11" s="18" t="str">
        <x:f>IF(OR(I11=0,'25_Config'!$B$11=""),"",IF(COUNTIFS(T11GA4LandingDaily[target_country],$B11,T11GA4LandingDaily[language],$C11,T11GA4LandingDaily[date],"&gt;="&amp;$A11,T11GA4LandingDaily[date],"&lt;"&amp;DATE(YEAR($A11),MONTH($A11)+1,1),T11GA4LandingDaily[session_channel],"Organic Search",T11GA4LandingDaily[data_quality],"Measured",T11GA4LandingDaily[currency],"&lt;&gt;"&amp;'25_Config'!$B$11)&gt;0,"",SUMIFS(T11GA4LandingDaily[purchase_revenue],T11GA4LandingDaily[target_country],$B11,T11GA4LandingDaily[language],$C11,T11GA4LandingDaily[date],"&gt;="&amp;$A11,T11GA4LandingDaily[date],"&lt;"&amp;DATE(YEAR($A11),MONTH($A11)+1,1),T11GA4LandingDaily[session_channel],"Organic Search",T11GA4LandingDaily[data_quality],"Measured")))</x:f>
      </x:c>
      <x:c r="Q11" s="18" t="str">
        <x:f>IF(P11="","",'25_Config'!$B$11)</x:f>
      </x:c>
      <x:c r="R11" s="28"/>
      <x:c r="S11" s="18" t="str">
        <x:f>IF(AND(D11=0,I11=0),"Not refreshed","Check completeness, gaps and sample size")</x:f>
        <x:v>Not refreshed</x:v>
      </x:c>
    </x:row>
    <x:row r="12" ht="30" customHeight="1">
      <x:c r="A12" s="22" t="n">
        <x:v>46204</x:v>
      </x:c>
      <x:c r="B12" s="18" t="str">
        <x:v>Czechia</x:v>
      </x:c>
      <x:c r="C12" s="18" t="str">
        <x:v>cs</x:v>
      </x:c>
      <x:c r="D12" s="18" t="n">
        <x:f>COUNTIFS(T09GSCPageDaily[target_country],$B12,T09GSCPageDaily[language],$C12,T09GSCPageDaily[date],"&gt;="&amp;$A12,T09GSCPageDaily[date],"&lt;"&amp;DATE(YEAR($A12),MONTH($A12)+1,1),T09GSCPageDaily[data_state],"final")</x:f>
        <x:v>0</x:v>
      </x:c>
      <x:c r="E12" s="24" t="str">
        <x:f>IF(D12=0,"",SUMIFS(T09GSCPageDaily[clicks],T09GSCPageDaily[target_country],$B12,T09GSCPageDaily[language],$C12,T09GSCPageDaily[date],"&gt;="&amp;$A12,T09GSCPageDaily[date],"&lt;"&amp;DATE(YEAR($A12),MONTH($A12)+1,1),T09GSCPageDaily[data_state],"final"))</x:f>
      </x:c>
      <x:c r="F12" s="24" t="str">
        <x:f>IF(D12=0,"",SUMIFS(T09GSCPageDaily[impressions],T09GSCPageDaily[target_country],$B12,T09GSCPageDaily[language],$C12,T09GSCPageDaily[date],"&gt;="&amp;$A12,T09GSCPageDaily[date],"&lt;"&amp;DATE(YEAR($A12),MONTH($A12)+1,1),T09GSCPageDaily[data_state],"final"))</x:f>
      </x:c>
      <x:c r="G12" s="28" t="str">
        <x:f>IFERROR(IF(D12=0,"",E12/F12),"")</x:f>
      </x:c>
      <x:c r="H12" s="26" t="str">
        <x:f>IF(D12=0,"",IFERROR(SUMPRODUCT((T09GSCPageDaily[target_country]=$B12)*(T09GSCPageDaily[language]=$C12)*(T09GSCPageDaily[date]&gt;=$A12)*(T09GSCPageDaily[date]&lt;DATE(YEAR($A12),MONTH($A12)+1,1))*(T09GSCPageDaily[data_state]="final")*T09GSCPageDaily[avg_position]*T09GSCPageDaily[impressions])/F12,""))</x:f>
      </x:c>
      <x:c r="I12" s="18" t="n">
        <x:f>COUNTIFS(T11GA4LandingDaily[target_country],$B12,T11GA4LandingDaily[language],$C12,T11GA4LandingDaily[date],"&gt;="&amp;$A12,T11GA4LandingDaily[date],"&lt;"&amp;DATE(YEAR($A12),MONTH($A12)+1,1),T11GA4LandingDaily[session_channel],"Organic Search",T11GA4LandingDaily[data_quality],"Measured")</x:f>
        <x:v>0</x:v>
      </x:c>
      <x:c r="J12" s="18" t="str">
        <x:f>IF(I12=0,"",SUMIFS(T11GA4LandingDaily[sessions],T11GA4LandingDaily[target_country],$B12,T11GA4LandingDaily[language],$C12,T11GA4LandingDaily[date],"&gt;="&amp;$A12,T11GA4LandingDaily[date],"&lt;"&amp;DATE(YEAR($A12),MONTH($A12)+1,1),T11GA4LandingDaily[session_channel],"Organic Search",T11GA4LandingDaily[data_quality],"Measured"))</x:f>
      </x:c>
      <x:c r="K12" s="24" t="str">
        <x:f>IF(I12=0,"",SUMIFS(T11GA4LandingDaily[engaged_sessions],T11GA4LandingDaily[target_country],$B12,T11GA4LandingDaily[language],$C12,T11GA4LandingDaily[date],"&gt;="&amp;$A12,T11GA4LandingDaily[date],"&lt;"&amp;DATE(YEAR($A12),MONTH($A12)+1,1),T11GA4LandingDaily[session_channel],"Organic Search",T11GA4LandingDaily[data_quality],"Measured"))</x:f>
      </x:c>
      <x:c r="L12" s="28" t="str">
        <x:f>IFERROR(IF(I12=0,"",K12/J12),"")</x:f>
      </x:c>
      <x:c r="M12" s="24" t="str">
        <x:f>IF(I12=0,"",SUMIFS(T11GA4LandingDaily[key_events],T11GA4LandingDaily[target_country],$B12,T11GA4LandingDaily[language],$C12,T11GA4LandingDaily[date],"&gt;="&amp;$A12,T11GA4LandingDaily[date],"&lt;"&amp;DATE(YEAR($A12),MONTH($A12)+1,1),T11GA4LandingDaily[session_channel],"Organic Search",T11GA4LandingDaily[data_quality],"Measured"))</x:f>
      </x:c>
      <x:c r="N12" s="24" t="str">
        <x:f>IF(I12=0,"",SUMIFS(T11GA4LandingDaily[booking_starts],T11GA4LandingDaily[target_country],$B12,T11GA4LandingDaily[language],$C12,T11GA4LandingDaily[date],"&gt;="&amp;$A12,T11GA4LandingDaily[date],"&lt;"&amp;DATE(YEAR($A12),MONTH($A12)+1,1),T11GA4LandingDaily[session_channel],"Organic Search",T11GA4LandingDaily[data_quality],"Measured"))</x:f>
      </x:c>
      <x:c r="O12" s="24" t="str">
        <x:f>IF(I12=0,"",SUMIFS(T11GA4LandingDaily[purchases],T11GA4LandingDaily[target_country],$B12,T11GA4LandingDaily[language],$C12,T11GA4LandingDaily[date],"&gt;="&amp;$A12,T11GA4LandingDaily[date],"&lt;"&amp;DATE(YEAR($A12),MONTH($A12)+1,1),T11GA4LandingDaily[session_channel],"Organic Search",T11GA4LandingDaily[data_quality],"Measured"))</x:f>
      </x:c>
      <x:c r="P12" s="18" t="str">
        <x:f>IF(OR(I12=0,'25_Config'!$B$11=""),"",IF(COUNTIFS(T11GA4LandingDaily[target_country],$B12,T11GA4LandingDaily[language],$C12,T11GA4LandingDaily[date],"&gt;="&amp;$A12,T11GA4LandingDaily[date],"&lt;"&amp;DATE(YEAR($A12),MONTH($A12)+1,1),T11GA4LandingDaily[session_channel],"Organic Search",T11GA4LandingDaily[data_quality],"Measured",T11GA4LandingDaily[currency],"&lt;&gt;"&amp;'25_Config'!$B$11)&gt;0,"",SUMIFS(T11GA4LandingDaily[purchase_revenue],T11GA4LandingDaily[target_country],$B12,T11GA4LandingDaily[language],$C12,T11GA4LandingDaily[date],"&gt;="&amp;$A12,T11GA4LandingDaily[date],"&lt;"&amp;DATE(YEAR($A12),MONTH($A12)+1,1),T11GA4LandingDaily[session_channel],"Organic Search",T11GA4LandingDaily[data_quality],"Measured")))</x:f>
      </x:c>
      <x:c r="Q12" s="18" t="str">
        <x:f>IF(P12="","",'25_Config'!$B$11)</x:f>
      </x:c>
      <x:c r="R12" s="28"/>
      <x:c r="S12" s="18" t="str">
        <x:f>IF(AND(D12=0,I12=0),"Not refreshed","Check completeness, gaps and sample size")</x:f>
        <x:v>Not refreshed</x:v>
      </x:c>
    </x:row>
    <x:row r="13" ht="30" customHeight="1">
      <x:c r="A13" s="22" t="n">
        <x:v>46204</x:v>
      </x:c>
      <x:c r="B13" s="18" t="str">
        <x:v>Czechia</x:v>
      </x:c>
      <x:c r="C13" s="18" t="str">
        <x:v>en</x:v>
      </x:c>
      <x:c r="D13" s="18" t="n">
        <x:f>COUNTIFS(T09GSCPageDaily[target_country],$B13,T09GSCPageDaily[language],$C13,T09GSCPageDaily[date],"&gt;="&amp;$A13,T09GSCPageDaily[date],"&lt;"&amp;DATE(YEAR($A13),MONTH($A13)+1,1),T09GSCPageDaily[data_state],"final")</x:f>
        <x:v>0</x:v>
      </x:c>
      <x:c r="E13" s="24" t="str">
        <x:f>IF(D13=0,"",SUMIFS(T09GSCPageDaily[clicks],T09GSCPageDaily[target_country],$B13,T09GSCPageDaily[language],$C13,T09GSCPageDaily[date],"&gt;="&amp;$A13,T09GSCPageDaily[date],"&lt;"&amp;DATE(YEAR($A13),MONTH($A13)+1,1),T09GSCPageDaily[data_state],"final"))</x:f>
      </x:c>
      <x:c r="F13" s="24" t="str">
        <x:f>IF(D13=0,"",SUMIFS(T09GSCPageDaily[impressions],T09GSCPageDaily[target_country],$B13,T09GSCPageDaily[language],$C13,T09GSCPageDaily[date],"&gt;="&amp;$A13,T09GSCPageDaily[date],"&lt;"&amp;DATE(YEAR($A13),MONTH($A13)+1,1),T09GSCPageDaily[data_state],"final"))</x:f>
      </x:c>
      <x:c r="G13" s="28" t="str">
        <x:f>IFERROR(IF(D13=0,"",E13/F13),"")</x:f>
      </x:c>
      <x:c r="H13" s="26" t="str">
        <x:f>IF(D13=0,"",IFERROR(SUMPRODUCT((T09GSCPageDaily[target_country]=$B13)*(T09GSCPageDaily[language]=$C13)*(T09GSCPageDaily[date]&gt;=$A13)*(T09GSCPageDaily[date]&lt;DATE(YEAR($A13),MONTH($A13)+1,1))*(T09GSCPageDaily[data_state]="final")*T09GSCPageDaily[avg_position]*T09GSCPageDaily[impressions])/F13,""))</x:f>
      </x:c>
      <x:c r="I13" s="18" t="n">
        <x:f>COUNTIFS(T11GA4LandingDaily[target_country],$B13,T11GA4LandingDaily[language],$C13,T11GA4LandingDaily[date],"&gt;="&amp;$A13,T11GA4LandingDaily[date],"&lt;"&amp;DATE(YEAR($A13),MONTH($A13)+1,1),T11GA4LandingDaily[session_channel],"Organic Search",T11GA4LandingDaily[data_quality],"Measured")</x:f>
        <x:v>0</x:v>
      </x:c>
      <x:c r="J13" s="18" t="str">
        <x:f>IF(I13=0,"",SUMIFS(T11GA4LandingDaily[sessions],T11GA4LandingDaily[target_country],$B13,T11GA4LandingDaily[language],$C13,T11GA4LandingDaily[date],"&gt;="&amp;$A13,T11GA4LandingDaily[date],"&lt;"&amp;DATE(YEAR($A13),MONTH($A13)+1,1),T11GA4LandingDaily[session_channel],"Organic Search",T11GA4LandingDaily[data_quality],"Measured"))</x:f>
      </x:c>
      <x:c r="K13" s="24" t="str">
        <x:f>IF(I13=0,"",SUMIFS(T11GA4LandingDaily[engaged_sessions],T11GA4LandingDaily[target_country],$B13,T11GA4LandingDaily[language],$C13,T11GA4LandingDaily[date],"&gt;="&amp;$A13,T11GA4LandingDaily[date],"&lt;"&amp;DATE(YEAR($A13),MONTH($A13)+1,1),T11GA4LandingDaily[session_channel],"Organic Search",T11GA4LandingDaily[data_quality],"Measured"))</x:f>
      </x:c>
      <x:c r="L13" s="28" t="str">
        <x:f>IFERROR(IF(I13=0,"",K13/J13),"")</x:f>
      </x:c>
      <x:c r="M13" s="24" t="str">
        <x:f>IF(I13=0,"",SUMIFS(T11GA4LandingDaily[key_events],T11GA4LandingDaily[target_country],$B13,T11GA4LandingDaily[language],$C13,T11GA4LandingDaily[date],"&gt;="&amp;$A13,T11GA4LandingDaily[date],"&lt;"&amp;DATE(YEAR($A13),MONTH($A13)+1,1),T11GA4LandingDaily[session_channel],"Organic Search",T11GA4LandingDaily[data_quality],"Measured"))</x:f>
      </x:c>
      <x:c r="N13" s="24" t="str">
        <x:f>IF(I13=0,"",SUMIFS(T11GA4LandingDaily[booking_starts],T11GA4LandingDaily[target_country],$B13,T11GA4LandingDaily[language],$C13,T11GA4LandingDaily[date],"&gt;="&amp;$A13,T11GA4LandingDaily[date],"&lt;"&amp;DATE(YEAR($A13),MONTH($A13)+1,1),T11GA4LandingDaily[session_channel],"Organic Search",T11GA4LandingDaily[data_quality],"Measured"))</x:f>
      </x:c>
      <x:c r="O13" s="24" t="str">
        <x:f>IF(I13=0,"",SUMIFS(T11GA4LandingDaily[purchases],T11GA4LandingDaily[target_country],$B13,T11GA4LandingDaily[language],$C13,T11GA4LandingDaily[date],"&gt;="&amp;$A13,T11GA4LandingDaily[date],"&lt;"&amp;DATE(YEAR($A13),MONTH($A13)+1,1),T11GA4LandingDaily[session_channel],"Organic Search",T11GA4LandingDaily[data_quality],"Measured"))</x:f>
      </x:c>
      <x:c r="P13" s="18" t="str">
        <x:f>IF(OR(I13=0,'25_Config'!$B$11=""),"",IF(COUNTIFS(T11GA4LandingDaily[target_country],$B13,T11GA4LandingDaily[language],$C13,T11GA4LandingDaily[date],"&gt;="&amp;$A13,T11GA4LandingDaily[date],"&lt;"&amp;DATE(YEAR($A13),MONTH($A13)+1,1),T11GA4LandingDaily[session_channel],"Organic Search",T11GA4LandingDaily[data_quality],"Measured",T11GA4LandingDaily[currency],"&lt;&gt;"&amp;'25_Config'!$B$11)&gt;0,"",SUMIFS(T11GA4LandingDaily[purchase_revenue],T11GA4LandingDaily[target_country],$B13,T11GA4LandingDaily[language],$C13,T11GA4LandingDaily[date],"&gt;="&amp;$A13,T11GA4LandingDaily[date],"&lt;"&amp;DATE(YEAR($A13),MONTH($A13)+1,1),T11GA4LandingDaily[session_channel],"Organic Search",T11GA4LandingDaily[data_quality],"Measured")))</x:f>
      </x:c>
      <x:c r="Q13" s="18" t="str">
        <x:f>IF(P13="","",'25_Config'!$B$11)</x:f>
      </x:c>
      <x:c r="R13" s="28"/>
      <x:c r="S13" s="18" t="str">
        <x:f>IF(AND(D13=0,I13=0),"Not refreshed","Check completeness, gaps and sample size")</x:f>
        <x:v>Not refreshed</x:v>
      </x:c>
    </x:row>
    <x:row r="14" ht="30" customHeight="1">
      <x:c r="A14" s="22" t="n">
        <x:v>46204</x:v>
      </x:c>
      <x:c r="B14" s="18" t="str">
        <x:v>Czechia</x:v>
      </x:c>
      <x:c r="C14" s="18" t="str">
        <x:v>pt</x:v>
      </x:c>
      <x:c r="D14" s="18" t="n">
        <x:f>COUNTIFS(T09GSCPageDaily[target_country],$B14,T09GSCPageDaily[language],$C14,T09GSCPageDaily[date],"&gt;="&amp;$A14,T09GSCPageDaily[date],"&lt;"&amp;DATE(YEAR($A14),MONTH($A14)+1,1),T09GSCPageDaily[data_state],"final")</x:f>
        <x:v>0</x:v>
      </x:c>
      <x:c r="E14" s="24" t="str">
        <x:f>IF(D14=0,"",SUMIFS(T09GSCPageDaily[clicks],T09GSCPageDaily[target_country],$B14,T09GSCPageDaily[language],$C14,T09GSCPageDaily[date],"&gt;="&amp;$A14,T09GSCPageDaily[date],"&lt;"&amp;DATE(YEAR($A14),MONTH($A14)+1,1),T09GSCPageDaily[data_state],"final"))</x:f>
      </x:c>
      <x:c r="F14" s="24" t="str">
        <x:f>IF(D14=0,"",SUMIFS(T09GSCPageDaily[impressions],T09GSCPageDaily[target_country],$B14,T09GSCPageDaily[language],$C14,T09GSCPageDaily[date],"&gt;="&amp;$A14,T09GSCPageDaily[date],"&lt;"&amp;DATE(YEAR($A14),MONTH($A14)+1,1),T09GSCPageDaily[data_state],"final"))</x:f>
      </x:c>
      <x:c r="G14" s="28" t="str">
        <x:f>IFERROR(IF(D14=0,"",E14/F14),"")</x:f>
      </x:c>
      <x:c r="H14" s="26" t="str">
        <x:f>IF(D14=0,"",IFERROR(SUMPRODUCT((T09GSCPageDaily[target_country]=$B14)*(T09GSCPageDaily[language]=$C14)*(T09GSCPageDaily[date]&gt;=$A14)*(T09GSCPageDaily[date]&lt;DATE(YEAR($A14),MONTH($A14)+1,1))*(T09GSCPageDaily[data_state]="final")*T09GSCPageDaily[avg_position]*T09GSCPageDaily[impressions])/F14,""))</x:f>
      </x:c>
      <x:c r="I14" s="18" t="n">
        <x:f>COUNTIFS(T11GA4LandingDaily[target_country],$B14,T11GA4LandingDaily[language],$C14,T11GA4LandingDaily[date],"&gt;="&amp;$A14,T11GA4LandingDaily[date],"&lt;"&amp;DATE(YEAR($A14),MONTH($A14)+1,1),T11GA4LandingDaily[session_channel],"Organic Search",T11GA4LandingDaily[data_quality],"Measured")</x:f>
        <x:v>0</x:v>
      </x:c>
      <x:c r="J14" s="18" t="str">
        <x:f>IF(I14=0,"",SUMIFS(T11GA4LandingDaily[sessions],T11GA4LandingDaily[target_country],$B14,T11GA4LandingDaily[language],$C14,T11GA4LandingDaily[date],"&gt;="&amp;$A14,T11GA4LandingDaily[date],"&lt;"&amp;DATE(YEAR($A14),MONTH($A14)+1,1),T11GA4LandingDaily[session_channel],"Organic Search",T11GA4LandingDaily[data_quality],"Measured"))</x:f>
      </x:c>
      <x:c r="K14" s="24" t="str">
        <x:f>IF(I14=0,"",SUMIFS(T11GA4LandingDaily[engaged_sessions],T11GA4LandingDaily[target_country],$B14,T11GA4LandingDaily[language],$C14,T11GA4LandingDaily[date],"&gt;="&amp;$A14,T11GA4LandingDaily[date],"&lt;"&amp;DATE(YEAR($A14),MONTH($A14)+1,1),T11GA4LandingDaily[session_channel],"Organic Search",T11GA4LandingDaily[data_quality],"Measured"))</x:f>
      </x:c>
      <x:c r="L14" s="28" t="str">
        <x:f>IFERROR(IF(I14=0,"",K14/J14),"")</x:f>
      </x:c>
      <x:c r="M14" s="24" t="str">
        <x:f>IF(I14=0,"",SUMIFS(T11GA4LandingDaily[key_events],T11GA4LandingDaily[target_country],$B14,T11GA4LandingDaily[language],$C14,T11GA4LandingDaily[date],"&gt;="&amp;$A14,T11GA4LandingDaily[date],"&lt;"&amp;DATE(YEAR($A14),MONTH($A14)+1,1),T11GA4LandingDaily[session_channel],"Organic Search",T11GA4LandingDaily[data_quality],"Measured"))</x:f>
      </x:c>
      <x:c r="N14" s="24" t="str">
        <x:f>IF(I14=0,"",SUMIFS(T11GA4LandingDaily[booking_starts],T11GA4LandingDaily[target_country],$B14,T11GA4LandingDaily[language],$C14,T11GA4LandingDaily[date],"&gt;="&amp;$A14,T11GA4LandingDaily[date],"&lt;"&amp;DATE(YEAR($A14),MONTH($A14)+1,1),T11GA4LandingDaily[session_channel],"Organic Search",T11GA4LandingDaily[data_quality],"Measured"))</x:f>
      </x:c>
      <x:c r="O14" s="24" t="str">
        <x:f>IF(I14=0,"",SUMIFS(T11GA4LandingDaily[purchases],T11GA4LandingDaily[target_country],$B14,T11GA4LandingDaily[language],$C14,T11GA4LandingDaily[date],"&gt;="&amp;$A14,T11GA4LandingDaily[date],"&lt;"&amp;DATE(YEAR($A14),MONTH($A14)+1,1),T11GA4LandingDaily[session_channel],"Organic Search",T11GA4LandingDaily[data_quality],"Measured"))</x:f>
      </x:c>
      <x:c r="P14" s="18" t="str">
        <x:f>IF(OR(I14=0,'25_Config'!$B$11=""),"",IF(COUNTIFS(T11GA4LandingDaily[target_country],$B14,T11GA4LandingDaily[language],$C14,T11GA4LandingDaily[date],"&gt;="&amp;$A14,T11GA4LandingDaily[date],"&lt;"&amp;DATE(YEAR($A14),MONTH($A14)+1,1),T11GA4LandingDaily[session_channel],"Organic Search",T11GA4LandingDaily[data_quality],"Measured",T11GA4LandingDaily[currency],"&lt;&gt;"&amp;'25_Config'!$B$11)&gt;0,"",SUMIFS(T11GA4LandingDaily[purchase_revenue],T11GA4LandingDaily[target_country],$B14,T11GA4LandingDaily[language],$C14,T11GA4LandingDaily[date],"&gt;="&amp;$A14,T11GA4LandingDaily[date],"&lt;"&amp;DATE(YEAR($A14),MONTH($A14)+1,1),T11GA4LandingDaily[session_channel],"Organic Search",T11GA4LandingDaily[data_quality],"Measured")))</x:f>
      </x:c>
      <x:c r="Q14" s="18" t="str">
        <x:f>IF(P14="","",'25_Config'!$B$11)</x:f>
      </x:c>
      <x:c r="R14" s="28"/>
      <x:c r="S14" s="18" t="str">
        <x:f>IF(AND(D14=0,I14=0),"Not refreshed","Check completeness, gaps and sample size")</x:f>
        <x:v>Not refreshed</x:v>
      </x:c>
    </x:row>
    <x:row r="15" ht="30" customHeight="1">
      <x:c r="A15" s="22" t="n">
        <x:v>46204</x:v>
      </x:c>
      <x:c r="B15" s="18" t="str">
        <x:v>Czechia</x:v>
      </x:c>
      <x:c r="C15" s="18" t="str">
        <x:v>es</x:v>
      </x:c>
      <x:c r="D15" s="18" t="n">
        <x:f>COUNTIFS(T09GSCPageDaily[target_country],$B15,T09GSCPageDaily[language],$C15,T09GSCPageDaily[date],"&gt;="&amp;$A15,T09GSCPageDaily[date],"&lt;"&amp;DATE(YEAR($A15),MONTH($A15)+1,1),T09GSCPageDaily[data_state],"final")</x:f>
        <x:v>0</x:v>
      </x:c>
      <x:c r="E15" s="24" t="str">
        <x:f>IF(D15=0,"",SUMIFS(T09GSCPageDaily[clicks],T09GSCPageDaily[target_country],$B15,T09GSCPageDaily[language],$C15,T09GSCPageDaily[date],"&gt;="&amp;$A15,T09GSCPageDaily[date],"&lt;"&amp;DATE(YEAR($A15),MONTH($A15)+1,1),T09GSCPageDaily[data_state],"final"))</x:f>
      </x:c>
      <x:c r="F15" s="24" t="str">
        <x:f>IF(D15=0,"",SUMIFS(T09GSCPageDaily[impressions],T09GSCPageDaily[target_country],$B15,T09GSCPageDaily[language],$C15,T09GSCPageDaily[date],"&gt;="&amp;$A15,T09GSCPageDaily[date],"&lt;"&amp;DATE(YEAR($A15),MONTH($A15)+1,1),T09GSCPageDaily[data_state],"final"))</x:f>
      </x:c>
      <x:c r="G15" s="28" t="str">
        <x:f>IFERROR(IF(D15=0,"",E15/F15),"")</x:f>
      </x:c>
      <x:c r="H15" s="26" t="str">
        <x:f>IF(D15=0,"",IFERROR(SUMPRODUCT((T09GSCPageDaily[target_country]=$B15)*(T09GSCPageDaily[language]=$C15)*(T09GSCPageDaily[date]&gt;=$A15)*(T09GSCPageDaily[date]&lt;DATE(YEAR($A15),MONTH($A15)+1,1))*(T09GSCPageDaily[data_state]="final")*T09GSCPageDaily[avg_position]*T09GSCPageDaily[impressions])/F15,""))</x:f>
      </x:c>
      <x:c r="I15" s="18" t="n">
        <x:f>COUNTIFS(T11GA4LandingDaily[target_country],$B15,T11GA4LandingDaily[language],$C15,T11GA4LandingDaily[date],"&gt;="&amp;$A15,T11GA4LandingDaily[date],"&lt;"&amp;DATE(YEAR($A15),MONTH($A15)+1,1),T11GA4LandingDaily[session_channel],"Organic Search",T11GA4LandingDaily[data_quality],"Measured")</x:f>
        <x:v>0</x:v>
      </x:c>
      <x:c r="J15" s="18" t="str">
        <x:f>IF(I15=0,"",SUMIFS(T11GA4LandingDaily[sessions],T11GA4LandingDaily[target_country],$B15,T11GA4LandingDaily[language],$C15,T11GA4LandingDaily[date],"&gt;="&amp;$A15,T11GA4LandingDaily[date],"&lt;"&amp;DATE(YEAR($A15),MONTH($A15)+1,1),T11GA4LandingDaily[session_channel],"Organic Search",T11GA4LandingDaily[data_quality],"Measured"))</x:f>
      </x:c>
      <x:c r="K15" s="24" t="str">
        <x:f>IF(I15=0,"",SUMIFS(T11GA4LandingDaily[engaged_sessions],T11GA4LandingDaily[target_country],$B15,T11GA4LandingDaily[language],$C15,T11GA4LandingDaily[date],"&gt;="&amp;$A15,T11GA4LandingDaily[date],"&lt;"&amp;DATE(YEAR($A15),MONTH($A15)+1,1),T11GA4LandingDaily[session_channel],"Organic Search",T11GA4LandingDaily[data_quality],"Measured"))</x:f>
      </x:c>
      <x:c r="L15" s="28" t="str">
        <x:f>IFERROR(IF(I15=0,"",K15/J15),"")</x:f>
      </x:c>
      <x:c r="M15" s="24" t="str">
        <x:f>IF(I15=0,"",SUMIFS(T11GA4LandingDaily[key_events],T11GA4LandingDaily[target_country],$B15,T11GA4LandingDaily[language],$C15,T11GA4LandingDaily[date],"&gt;="&amp;$A15,T11GA4LandingDaily[date],"&lt;"&amp;DATE(YEAR($A15),MONTH($A15)+1,1),T11GA4LandingDaily[session_channel],"Organic Search",T11GA4LandingDaily[data_quality],"Measured"))</x:f>
      </x:c>
      <x:c r="N15" s="24" t="str">
        <x:f>IF(I15=0,"",SUMIFS(T11GA4LandingDaily[booking_starts],T11GA4LandingDaily[target_country],$B15,T11GA4LandingDaily[language],$C15,T11GA4LandingDaily[date],"&gt;="&amp;$A15,T11GA4LandingDaily[date],"&lt;"&amp;DATE(YEAR($A15),MONTH($A15)+1,1),T11GA4LandingDaily[session_channel],"Organic Search",T11GA4LandingDaily[data_quality],"Measured"))</x:f>
      </x:c>
      <x:c r="O15" s="24" t="str">
        <x:f>IF(I15=0,"",SUMIFS(T11GA4LandingDaily[purchases],T11GA4LandingDaily[target_country],$B15,T11GA4LandingDaily[language],$C15,T11GA4LandingDaily[date],"&gt;="&amp;$A15,T11GA4LandingDaily[date],"&lt;"&amp;DATE(YEAR($A15),MONTH($A15)+1,1),T11GA4LandingDaily[session_channel],"Organic Search",T11GA4LandingDaily[data_quality],"Measured"))</x:f>
      </x:c>
      <x:c r="P15" s="18" t="str">
        <x:f>IF(OR(I15=0,'25_Config'!$B$11=""),"",IF(COUNTIFS(T11GA4LandingDaily[target_country],$B15,T11GA4LandingDaily[language],$C15,T11GA4LandingDaily[date],"&gt;="&amp;$A15,T11GA4LandingDaily[date],"&lt;"&amp;DATE(YEAR($A15),MONTH($A15)+1,1),T11GA4LandingDaily[session_channel],"Organic Search",T11GA4LandingDaily[data_quality],"Measured",T11GA4LandingDaily[currency],"&lt;&gt;"&amp;'25_Config'!$B$11)&gt;0,"",SUMIFS(T11GA4LandingDaily[purchase_revenue],T11GA4LandingDaily[target_country],$B15,T11GA4LandingDaily[language],$C15,T11GA4LandingDaily[date],"&gt;="&amp;$A15,T11GA4LandingDaily[date],"&lt;"&amp;DATE(YEAR($A15),MONTH($A15)+1,1),T11GA4LandingDaily[session_channel],"Organic Search",T11GA4LandingDaily[data_quality],"Measured")))</x:f>
      </x:c>
      <x:c r="Q15" s="18" t="str">
        <x:f>IF(P15="","",'25_Config'!$B$11)</x:f>
      </x:c>
      <x:c r="R15" s="28"/>
      <x:c r="S15" s="18" t="str">
        <x:f>IF(AND(D15=0,I15=0),"Not refreshed","Check completeness, gaps and sample size")</x:f>
        <x:v>Not refreshed</x:v>
      </x:c>
    </x:row>
    <x:row r="16" ht="30" customHeight="1">
      <x:c r="A16" s="22" t="n">
        <x:v>46204</x:v>
      </x:c>
      <x:c r="B16" s="18" t="str">
        <x:v>Czechia</x:v>
      </x:c>
      <x:c r="C16" s="18" t="str">
        <x:v>ro</x:v>
      </x:c>
      <x:c r="D16" s="18" t="n">
        <x:f>COUNTIFS(T09GSCPageDaily[target_country],$B16,T09GSCPageDaily[language],$C16,T09GSCPageDaily[date],"&gt;="&amp;$A16,T09GSCPageDaily[date],"&lt;"&amp;DATE(YEAR($A16),MONTH($A16)+1,1),T09GSCPageDaily[data_state],"final")</x:f>
        <x:v>0</x:v>
      </x:c>
      <x:c r="E16" s="24" t="str">
        <x:f>IF(D16=0,"",SUMIFS(T09GSCPageDaily[clicks],T09GSCPageDaily[target_country],$B16,T09GSCPageDaily[language],$C16,T09GSCPageDaily[date],"&gt;="&amp;$A16,T09GSCPageDaily[date],"&lt;"&amp;DATE(YEAR($A16),MONTH($A16)+1,1),T09GSCPageDaily[data_state],"final"))</x:f>
      </x:c>
      <x:c r="F16" s="24" t="str">
        <x:f>IF(D16=0,"",SUMIFS(T09GSCPageDaily[impressions],T09GSCPageDaily[target_country],$B16,T09GSCPageDaily[language],$C16,T09GSCPageDaily[date],"&gt;="&amp;$A16,T09GSCPageDaily[date],"&lt;"&amp;DATE(YEAR($A16),MONTH($A16)+1,1),T09GSCPageDaily[data_state],"final"))</x:f>
      </x:c>
      <x:c r="G16" s="28" t="str">
        <x:f>IFERROR(IF(D16=0,"",E16/F16),"")</x:f>
      </x:c>
      <x:c r="H16" s="26" t="str">
        <x:f>IF(D16=0,"",IFERROR(SUMPRODUCT((T09GSCPageDaily[target_country]=$B16)*(T09GSCPageDaily[language]=$C16)*(T09GSCPageDaily[date]&gt;=$A16)*(T09GSCPageDaily[date]&lt;DATE(YEAR($A16),MONTH($A16)+1,1))*(T09GSCPageDaily[data_state]="final")*T09GSCPageDaily[avg_position]*T09GSCPageDaily[impressions])/F16,""))</x:f>
      </x:c>
      <x:c r="I16" s="18" t="n">
        <x:f>COUNTIFS(T11GA4LandingDaily[target_country],$B16,T11GA4LandingDaily[language],$C16,T11GA4LandingDaily[date],"&gt;="&amp;$A16,T11GA4LandingDaily[date],"&lt;"&amp;DATE(YEAR($A16),MONTH($A16)+1,1),T11GA4LandingDaily[session_channel],"Organic Search",T11GA4LandingDaily[data_quality],"Measured")</x:f>
        <x:v>0</x:v>
      </x:c>
      <x:c r="J16" s="18" t="str">
        <x:f>IF(I16=0,"",SUMIFS(T11GA4LandingDaily[sessions],T11GA4LandingDaily[target_country],$B16,T11GA4LandingDaily[language],$C16,T11GA4LandingDaily[date],"&gt;="&amp;$A16,T11GA4LandingDaily[date],"&lt;"&amp;DATE(YEAR($A16),MONTH($A16)+1,1),T11GA4LandingDaily[session_channel],"Organic Search",T11GA4LandingDaily[data_quality],"Measured"))</x:f>
      </x:c>
      <x:c r="K16" s="24" t="str">
        <x:f>IF(I16=0,"",SUMIFS(T11GA4LandingDaily[engaged_sessions],T11GA4LandingDaily[target_country],$B16,T11GA4LandingDaily[language],$C16,T11GA4LandingDaily[date],"&gt;="&amp;$A16,T11GA4LandingDaily[date],"&lt;"&amp;DATE(YEAR($A16),MONTH($A16)+1,1),T11GA4LandingDaily[session_channel],"Organic Search",T11GA4LandingDaily[data_quality],"Measured"))</x:f>
      </x:c>
      <x:c r="L16" s="28" t="str">
        <x:f>IFERROR(IF(I16=0,"",K16/J16),"")</x:f>
      </x:c>
      <x:c r="M16" s="24" t="str">
        <x:f>IF(I16=0,"",SUMIFS(T11GA4LandingDaily[key_events],T11GA4LandingDaily[target_country],$B16,T11GA4LandingDaily[language],$C16,T11GA4LandingDaily[date],"&gt;="&amp;$A16,T11GA4LandingDaily[date],"&lt;"&amp;DATE(YEAR($A16),MONTH($A16)+1,1),T11GA4LandingDaily[session_channel],"Organic Search",T11GA4LandingDaily[data_quality],"Measured"))</x:f>
      </x:c>
      <x:c r="N16" s="24" t="str">
        <x:f>IF(I16=0,"",SUMIFS(T11GA4LandingDaily[booking_starts],T11GA4LandingDaily[target_country],$B16,T11GA4LandingDaily[language],$C16,T11GA4LandingDaily[date],"&gt;="&amp;$A16,T11GA4LandingDaily[date],"&lt;"&amp;DATE(YEAR($A16),MONTH($A16)+1,1),T11GA4LandingDaily[session_channel],"Organic Search",T11GA4LandingDaily[data_quality],"Measured"))</x:f>
      </x:c>
      <x:c r="O16" s="24" t="str">
        <x:f>IF(I16=0,"",SUMIFS(T11GA4LandingDaily[purchases],T11GA4LandingDaily[target_country],$B16,T11GA4LandingDaily[language],$C16,T11GA4LandingDaily[date],"&gt;="&amp;$A16,T11GA4LandingDaily[date],"&lt;"&amp;DATE(YEAR($A16),MONTH($A16)+1,1),T11GA4LandingDaily[session_channel],"Organic Search",T11GA4LandingDaily[data_quality],"Measured"))</x:f>
      </x:c>
      <x:c r="P16" s="18" t="str">
        <x:f>IF(OR(I16=0,'25_Config'!$B$11=""),"",IF(COUNTIFS(T11GA4LandingDaily[target_country],$B16,T11GA4LandingDaily[language],$C16,T11GA4LandingDaily[date],"&gt;="&amp;$A16,T11GA4LandingDaily[date],"&lt;"&amp;DATE(YEAR($A16),MONTH($A16)+1,1),T11GA4LandingDaily[session_channel],"Organic Search",T11GA4LandingDaily[data_quality],"Measured",T11GA4LandingDaily[currency],"&lt;&gt;"&amp;'25_Config'!$B$11)&gt;0,"",SUMIFS(T11GA4LandingDaily[purchase_revenue],T11GA4LandingDaily[target_country],$B16,T11GA4LandingDaily[language],$C16,T11GA4LandingDaily[date],"&gt;="&amp;$A16,T11GA4LandingDaily[date],"&lt;"&amp;DATE(YEAR($A16),MONTH($A16)+1,1),T11GA4LandingDaily[session_channel],"Organic Search",T11GA4LandingDaily[data_quality],"Measured")))</x:f>
      </x:c>
      <x:c r="Q16" s="18" t="str">
        <x:f>IF(P16="","",'25_Config'!$B$11)</x:f>
      </x:c>
      <x:c r="R16" s="28"/>
      <x:c r="S16" s="18" t="str">
        <x:f>IF(AND(D16=0,I16=0),"Not refreshed","Check completeness, gaps and sample size")</x:f>
        <x:v>Not refreshed</x:v>
      </x:c>
    </x:row>
    <x:row r="17" ht="30" customHeight="1">
      <x:c r="A17" s="22" t="n">
        <x:v>46204</x:v>
      </x:c>
      <x:c r="B17" s="18" t="str">
        <x:v>Czechia</x:v>
      </x:c>
      <x:c r="C17" s="18" t="str">
        <x:v>de</x:v>
      </x:c>
      <x:c r="D17" s="18" t="n">
        <x:f>COUNTIFS(T09GSCPageDaily[target_country],$B17,T09GSCPageDaily[language],$C17,T09GSCPageDaily[date],"&gt;="&amp;$A17,T09GSCPageDaily[date],"&lt;"&amp;DATE(YEAR($A17),MONTH($A17)+1,1),T09GSCPageDaily[data_state],"final")</x:f>
        <x:v>0</x:v>
      </x:c>
      <x:c r="E17" s="24" t="str">
        <x:f>IF(D17=0,"",SUMIFS(T09GSCPageDaily[clicks],T09GSCPageDaily[target_country],$B17,T09GSCPageDaily[language],$C17,T09GSCPageDaily[date],"&gt;="&amp;$A17,T09GSCPageDaily[date],"&lt;"&amp;DATE(YEAR($A17),MONTH($A17)+1,1),T09GSCPageDaily[data_state],"final"))</x:f>
      </x:c>
      <x:c r="F17" s="24" t="str">
        <x:f>IF(D17=0,"",SUMIFS(T09GSCPageDaily[impressions],T09GSCPageDaily[target_country],$B17,T09GSCPageDaily[language],$C17,T09GSCPageDaily[date],"&gt;="&amp;$A17,T09GSCPageDaily[date],"&lt;"&amp;DATE(YEAR($A17),MONTH($A17)+1,1),T09GSCPageDaily[data_state],"final"))</x:f>
      </x:c>
      <x:c r="G17" s="28" t="str">
        <x:f>IFERROR(IF(D17=0,"",E17/F17),"")</x:f>
      </x:c>
      <x:c r="H17" s="26" t="str">
        <x:f>IF(D17=0,"",IFERROR(SUMPRODUCT((T09GSCPageDaily[target_country]=$B17)*(T09GSCPageDaily[language]=$C17)*(T09GSCPageDaily[date]&gt;=$A17)*(T09GSCPageDaily[date]&lt;DATE(YEAR($A17),MONTH($A17)+1,1))*(T09GSCPageDaily[data_state]="final")*T09GSCPageDaily[avg_position]*T09GSCPageDaily[impressions])/F17,""))</x:f>
      </x:c>
      <x:c r="I17" s="18" t="n">
        <x:f>COUNTIFS(T11GA4LandingDaily[target_country],$B17,T11GA4LandingDaily[language],$C17,T11GA4LandingDaily[date],"&gt;="&amp;$A17,T11GA4LandingDaily[date],"&lt;"&amp;DATE(YEAR($A17),MONTH($A17)+1,1),T11GA4LandingDaily[session_channel],"Organic Search",T11GA4LandingDaily[data_quality],"Measured")</x:f>
        <x:v>0</x:v>
      </x:c>
      <x:c r="J17" s="18" t="str">
        <x:f>IF(I17=0,"",SUMIFS(T11GA4LandingDaily[sessions],T11GA4LandingDaily[target_country],$B17,T11GA4LandingDaily[language],$C17,T11GA4LandingDaily[date],"&gt;="&amp;$A17,T11GA4LandingDaily[date],"&lt;"&amp;DATE(YEAR($A17),MONTH($A17)+1,1),T11GA4LandingDaily[session_channel],"Organic Search",T11GA4LandingDaily[data_quality],"Measured"))</x:f>
      </x:c>
      <x:c r="K17" s="24" t="str">
        <x:f>IF(I17=0,"",SUMIFS(T11GA4LandingDaily[engaged_sessions],T11GA4LandingDaily[target_country],$B17,T11GA4LandingDaily[language],$C17,T11GA4LandingDaily[date],"&gt;="&amp;$A17,T11GA4LandingDaily[date],"&lt;"&amp;DATE(YEAR($A17),MONTH($A17)+1,1),T11GA4LandingDaily[session_channel],"Organic Search",T11GA4LandingDaily[data_quality],"Measured"))</x:f>
      </x:c>
      <x:c r="L17" s="28" t="str">
        <x:f>IFERROR(IF(I17=0,"",K17/J17),"")</x:f>
      </x:c>
      <x:c r="M17" s="24" t="str">
        <x:f>IF(I17=0,"",SUMIFS(T11GA4LandingDaily[key_events],T11GA4LandingDaily[target_country],$B17,T11GA4LandingDaily[language],$C17,T11GA4LandingDaily[date],"&gt;="&amp;$A17,T11GA4LandingDaily[date],"&lt;"&amp;DATE(YEAR($A17),MONTH($A17)+1,1),T11GA4LandingDaily[session_channel],"Organic Search",T11GA4LandingDaily[data_quality],"Measured"))</x:f>
      </x:c>
      <x:c r="N17" s="24" t="str">
        <x:f>IF(I17=0,"",SUMIFS(T11GA4LandingDaily[booking_starts],T11GA4LandingDaily[target_country],$B17,T11GA4LandingDaily[language],$C17,T11GA4LandingDaily[date],"&gt;="&amp;$A17,T11GA4LandingDaily[date],"&lt;"&amp;DATE(YEAR($A17),MONTH($A17)+1,1),T11GA4LandingDaily[session_channel],"Organic Search",T11GA4LandingDaily[data_quality],"Measured"))</x:f>
      </x:c>
      <x:c r="O17" s="24" t="str">
        <x:f>IF(I17=0,"",SUMIFS(T11GA4LandingDaily[purchases],T11GA4LandingDaily[target_country],$B17,T11GA4LandingDaily[language],$C17,T11GA4LandingDaily[date],"&gt;="&amp;$A17,T11GA4LandingDaily[date],"&lt;"&amp;DATE(YEAR($A17),MONTH($A17)+1,1),T11GA4LandingDaily[session_channel],"Organic Search",T11GA4LandingDaily[data_quality],"Measured"))</x:f>
      </x:c>
      <x:c r="P17" s="18" t="str">
        <x:f>IF(OR(I17=0,'25_Config'!$B$11=""),"",IF(COUNTIFS(T11GA4LandingDaily[target_country],$B17,T11GA4LandingDaily[language],$C17,T11GA4LandingDaily[date],"&gt;="&amp;$A17,T11GA4LandingDaily[date],"&lt;"&amp;DATE(YEAR($A17),MONTH($A17)+1,1),T11GA4LandingDaily[session_channel],"Organic Search",T11GA4LandingDaily[data_quality],"Measured",T11GA4LandingDaily[currency],"&lt;&gt;"&amp;'25_Config'!$B$11)&gt;0,"",SUMIFS(T11GA4LandingDaily[purchase_revenue],T11GA4LandingDaily[target_country],$B17,T11GA4LandingDaily[language],$C17,T11GA4LandingDaily[date],"&gt;="&amp;$A17,T11GA4LandingDaily[date],"&lt;"&amp;DATE(YEAR($A17),MONTH($A17)+1,1),T11GA4LandingDaily[session_channel],"Organic Search",T11GA4LandingDaily[data_quality],"Measured")))</x:f>
      </x:c>
      <x:c r="Q17" s="18" t="str">
        <x:f>IF(P17="","",'25_Config'!$B$11)</x:f>
      </x:c>
      <x:c r="R17" s="28"/>
      <x:c r="S17" s="18" t="str">
        <x:f>IF(AND(D17=0,I17=0),"Not refreshed","Check completeness, gaps and sample size")</x:f>
        <x:v>Not refreshed</x:v>
      </x:c>
    </x:row>
    <x:row r="18" ht="30" customHeight="1">
      <x:c r="A18" s="22" t="n">
        <x:v>46204</x:v>
      </x:c>
      <x:c r="B18" s="18" t="str">
        <x:v>Portugal</x:v>
      </x:c>
      <x:c r="C18" s="18" t="str">
        <x:v>pt</x:v>
      </x:c>
      <x:c r="D18" s="18" t="n">
        <x:f>COUNTIFS(T09GSCPageDaily[target_country],$B18,T09GSCPageDaily[language],$C18,T09GSCPageDaily[date],"&gt;="&amp;$A18,T09GSCPageDaily[date],"&lt;"&amp;DATE(YEAR($A18),MONTH($A18)+1,1),T09GSCPageDaily[data_state],"final")</x:f>
        <x:v>0</x:v>
      </x:c>
      <x:c r="E18" s="24" t="str">
        <x:f>IF(D18=0,"",SUMIFS(T09GSCPageDaily[clicks],T09GSCPageDaily[target_country],$B18,T09GSCPageDaily[language],$C18,T09GSCPageDaily[date],"&gt;="&amp;$A18,T09GSCPageDaily[date],"&lt;"&amp;DATE(YEAR($A18),MONTH($A18)+1,1),T09GSCPageDaily[data_state],"final"))</x:f>
      </x:c>
      <x:c r="F18" s="24" t="str">
        <x:f>IF(D18=0,"",SUMIFS(T09GSCPageDaily[impressions],T09GSCPageDaily[target_country],$B18,T09GSCPageDaily[language],$C18,T09GSCPageDaily[date],"&gt;="&amp;$A18,T09GSCPageDaily[date],"&lt;"&amp;DATE(YEAR($A18),MONTH($A18)+1,1),T09GSCPageDaily[data_state],"final"))</x:f>
      </x:c>
      <x:c r="G18" s="28" t="str">
        <x:f>IFERROR(IF(D18=0,"",E18/F18),"")</x:f>
      </x:c>
      <x:c r="H18" s="26" t="str">
        <x:f>IF(D18=0,"",IFERROR(SUMPRODUCT((T09GSCPageDaily[target_country]=$B18)*(T09GSCPageDaily[language]=$C18)*(T09GSCPageDaily[date]&gt;=$A18)*(T09GSCPageDaily[date]&lt;DATE(YEAR($A18),MONTH($A18)+1,1))*(T09GSCPageDaily[data_state]="final")*T09GSCPageDaily[avg_position]*T09GSCPageDaily[impressions])/F18,""))</x:f>
      </x:c>
      <x:c r="I18" s="18" t="n">
        <x:f>COUNTIFS(T11GA4LandingDaily[target_country],$B18,T11GA4LandingDaily[language],$C18,T11GA4LandingDaily[date],"&gt;="&amp;$A18,T11GA4LandingDaily[date],"&lt;"&amp;DATE(YEAR($A18),MONTH($A18)+1,1),T11GA4LandingDaily[session_channel],"Organic Search",T11GA4LandingDaily[data_quality],"Measured")</x:f>
        <x:v>0</x:v>
      </x:c>
      <x:c r="J18" s="18" t="str">
        <x:f>IF(I18=0,"",SUMIFS(T11GA4LandingDaily[sessions],T11GA4LandingDaily[target_country],$B18,T11GA4LandingDaily[language],$C18,T11GA4LandingDaily[date],"&gt;="&amp;$A18,T11GA4LandingDaily[date],"&lt;"&amp;DATE(YEAR($A18),MONTH($A18)+1,1),T11GA4LandingDaily[session_channel],"Organic Search",T11GA4LandingDaily[data_quality],"Measured"))</x:f>
      </x:c>
      <x:c r="K18" s="24" t="str">
        <x:f>IF(I18=0,"",SUMIFS(T11GA4LandingDaily[engaged_sessions],T11GA4LandingDaily[target_country],$B18,T11GA4LandingDaily[language],$C18,T11GA4LandingDaily[date],"&gt;="&amp;$A18,T11GA4LandingDaily[date],"&lt;"&amp;DATE(YEAR($A18),MONTH($A18)+1,1),T11GA4LandingDaily[session_channel],"Organic Search",T11GA4LandingDaily[data_quality],"Measured"))</x:f>
      </x:c>
      <x:c r="L18" s="28" t="str">
        <x:f>IFERROR(IF(I18=0,"",K18/J18),"")</x:f>
      </x:c>
      <x:c r="M18" s="24" t="str">
        <x:f>IF(I18=0,"",SUMIFS(T11GA4LandingDaily[key_events],T11GA4LandingDaily[target_country],$B18,T11GA4LandingDaily[language],$C18,T11GA4LandingDaily[date],"&gt;="&amp;$A18,T11GA4LandingDaily[date],"&lt;"&amp;DATE(YEAR($A18),MONTH($A18)+1,1),T11GA4LandingDaily[session_channel],"Organic Search",T11GA4LandingDaily[data_quality],"Measured"))</x:f>
      </x:c>
      <x:c r="N18" s="24" t="str">
        <x:f>IF(I18=0,"",SUMIFS(T11GA4LandingDaily[booking_starts],T11GA4LandingDaily[target_country],$B18,T11GA4LandingDaily[language],$C18,T11GA4LandingDaily[date],"&gt;="&amp;$A18,T11GA4LandingDaily[date],"&lt;"&amp;DATE(YEAR($A18),MONTH($A18)+1,1),T11GA4LandingDaily[session_channel],"Organic Search",T11GA4LandingDaily[data_quality],"Measured"))</x:f>
      </x:c>
      <x:c r="O18" s="24" t="str">
        <x:f>IF(I18=0,"",SUMIFS(T11GA4LandingDaily[purchases],T11GA4LandingDaily[target_country],$B18,T11GA4LandingDaily[language],$C18,T11GA4LandingDaily[date],"&gt;="&amp;$A18,T11GA4LandingDaily[date],"&lt;"&amp;DATE(YEAR($A18),MONTH($A18)+1,1),T11GA4LandingDaily[session_channel],"Organic Search",T11GA4LandingDaily[data_quality],"Measured"))</x:f>
      </x:c>
      <x:c r="P18" s="18" t="str">
        <x:f>IF(OR(I18=0,'25_Config'!$B$11=""),"",IF(COUNTIFS(T11GA4LandingDaily[target_country],$B18,T11GA4LandingDaily[language],$C18,T11GA4LandingDaily[date],"&gt;="&amp;$A18,T11GA4LandingDaily[date],"&lt;"&amp;DATE(YEAR($A18),MONTH($A18)+1,1),T11GA4LandingDaily[session_channel],"Organic Search",T11GA4LandingDaily[data_quality],"Measured",T11GA4LandingDaily[currency],"&lt;&gt;"&amp;'25_Config'!$B$11)&gt;0,"",SUMIFS(T11GA4LandingDaily[purchase_revenue],T11GA4LandingDaily[target_country],$B18,T11GA4LandingDaily[language],$C18,T11GA4LandingDaily[date],"&gt;="&amp;$A18,T11GA4LandingDaily[date],"&lt;"&amp;DATE(YEAR($A18),MONTH($A18)+1,1),T11GA4LandingDaily[session_channel],"Organic Search",T11GA4LandingDaily[data_quality],"Measured")))</x:f>
      </x:c>
      <x:c r="Q18" s="18" t="str">
        <x:f>IF(P18="","",'25_Config'!$B$11)</x:f>
      </x:c>
      <x:c r="R18" s="28"/>
      <x:c r="S18" s="18" t="str">
        <x:f>IF(AND(D18=0,I18=0),"Not refreshed","Check completeness, gaps and sample size")</x:f>
        <x:v>Not refreshed</x:v>
      </x:c>
    </x:row>
    <x:row r="19" ht="30" customHeight="1">
      <x:c r="A19" s="22" t="n">
        <x:v>46204</x:v>
      </x:c>
      <x:c r="B19" s="18" t="str">
        <x:v>Portugal</x:v>
      </x:c>
      <x:c r="C19" s="18" t="str">
        <x:v>en</x:v>
      </x:c>
      <x:c r="D19" s="18" t="n">
        <x:f>COUNTIFS(T09GSCPageDaily[target_country],$B19,T09GSCPageDaily[language],$C19,T09GSCPageDaily[date],"&gt;="&amp;$A19,T09GSCPageDaily[date],"&lt;"&amp;DATE(YEAR($A19),MONTH($A19)+1,1),T09GSCPageDaily[data_state],"final")</x:f>
        <x:v>0</x:v>
      </x:c>
      <x:c r="E19" s="24" t="str">
        <x:f>IF(D19=0,"",SUMIFS(T09GSCPageDaily[clicks],T09GSCPageDaily[target_country],$B19,T09GSCPageDaily[language],$C19,T09GSCPageDaily[date],"&gt;="&amp;$A19,T09GSCPageDaily[date],"&lt;"&amp;DATE(YEAR($A19),MONTH($A19)+1,1),T09GSCPageDaily[data_state],"final"))</x:f>
      </x:c>
      <x:c r="F19" s="24" t="str">
        <x:f>IF(D19=0,"",SUMIFS(T09GSCPageDaily[impressions],T09GSCPageDaily[target_country],$B19,T09GSCPageDaily[language],$C19,T09GSCPageDaily[date],"&gt;="&amp;$A19,T09GSCPageDaily[date],"&lt;"&amp;DATE(YEAR($A19),MONTH($A19)+1,1),T09GSCPageDaily[data_state],"final"))</x:f>
      </x:c>
      <x:c r="G19" s="28" t="str">
        <x:f>IFERROR(IF(D19=0,"",E19/F19),"")</x:f>
      </x:c>
      <x:c r="H19" s="26" t="str">
        <x:f>IF(D19=0,"",IFERROR(SUMPRODUCT((T09GSCPageDaily[target_country]=$B19)*(T09GSCPageDaily[language]=$C19)*(T09GSCPageDaily[date]&gt;=$A19)*(T09GSCPageDaily[date]&lt;DATE(YEAR($A19),MONTH($A19)+1,1))*(T09GSCPageDaily[data_state]="final")*T09GSCPageDaily[avg_position]*T09GSCPageDaily[impressions])/F19,""))</x:f>
      </x:c>
      <x:c r="I19" s="18" t="n">
        <x:f>COUNTIFS(T11GA4LandingDaily[target_country],$B19,T11GA4LandingDaily[language],$C19,T11GA4LandingDaily[date],"&gt;="&amp;$A19,T11GA4LandingDaily[date],"&lt;"&amp;DATE(YEAR($A19),MONTH($A19)+1,1),T11GA4LandingDaily[session_channel],"Organic Search",T11GA4LandingDaily[data_quality],"Measured")</x:f>
        <x:v>0</x:v>
      </x:c>
      <x:c r="J19" s="18" t="str">
        <x:f>IF(I19=0,"",SUMIFS(T11GA4LandingDaily[sessions],T11GA4LandingDaily[target_country],$B19,T11GA4LandingDaily[language],$C19,T11GA4LandingDaily[date],"&gt;="&amp;$A19,T11GA4LandingDaily[date],"&lt;"&amp;DATE(YEAR($A19),MONTH($A19)+1,1),T11GA4LandingDaily[session_channel],"Organic Search",T11GA4LandingDaily[data_quality],"Measured"))</x:f>
      </x:c>
      <x:c r="K19" s="24" t="str">
        <x:f>IF(I19=0,"",SUMIFS(T11GA4LandingDaily[engaged_sessions],T11GA4LandingDaily[target_country],$B19,T11GA4LandingDaily[language],$C19,T11GA4LandingDaily[date],"&gt;="&amp;$A19,T11GA4LandingDaily[date],"&lt;"&amp;DATE(YEAR($A19),MONTH($A19)+1,1),T11GA4LandingDaily[session_channel],"Organic Search",T11GA4LandingDaily[data_quality],"Measured"))</x:f>
      </x:c>
      <x:c r="L19" s="28" t="str">
        <x:f>IFERROR(IF(I19=0,"",K19/J19),"")</x:f>
      </x:c>
      <x:c r="M19" s="24" t="str">
        <x:f>IF(I19=0,"",SUMIFS(T11GA4LandingDaily[key_events],T11GA4LandingDaily[target_country],$B19,T11GA4LandingDaily[language],$C19,T11GA4LandingDaily[date],"&gt;="&amp;$A19,T11GA4LandingDaily[date],"&lt;"&amp;DATE(YEAR($A19),MONTH($A19)+1,1),T11GA4LandingDaily[session_channel],"Organic Search",T11GA4LandingDaily[data_quality],"Measured"))</x:f>
      </x:c>
      <x:c r="N19" s="24" t="str">
        <x:f>IF(I19=0,"",SUMIFS(T11GA4LandingDaily[booking_starts],T11GA4LandingDaily[target_country],$B19,T11GA4LandingDaily[language],$C19,T11GA4LandingDaily[date],"&gt;="&amp;$A19,T11GA4LandingDaily[date],"&lt;"&amp;DATE(YEAR($A19),MONTH($A19)+1,1),T11GA4LandingDaily[session_channel],"Organic Search",T11GA4LandingDaily[data_quality],"Measured"))</x:f>
      </x:c>
      <x:c r="O19" s="24" t="str">
        <x:f>IF(I19=0,"",SUMIFS(T11GA4LandingDaily[purchases],T11GA4LandingDaily[target_country],$B19,T11GA4LandingDaily[language],$C19,T11GA4LandingDaily[date],"&gt;="&amp;$A19,T11GA4LandingDaily[date],"&lt;"&amp;DATE(YEAR($A19),MONTH($A19)+1,1),T11GA4LandingDaily[session_channel],"Organic Search",T11GA4LandingDaily[data_quality],"Measured"))</x:f>
      </x:c>
      <x:c r="P19" s="18" t="str">
        <x:f>IF(OR(I19=0,'25_Config'!$B$11=""),"",IF(COUNTIFS(T11GA4LandingDaily[target_country],$B19,T11GA4LandingDaily[language],$C19,T11GA4LandingDaily[date],"&gt;="&amp;$A19,T11GA4LandingDaily[date],"&lt;"&amp;DATE(YEAR($A19),MONTH($A19)+1,1),T11GA4LandingDaily[session_channel],"Organic Search",T11GA4LandingDaily[data_quality],"Measured",T11GA4LandingDaily[currency],"&lt;&gt;"&amp;'25_Config'!$B$11)&gt;0,"",SUMIFS(T11GA4LandingDaily[purchase_revenue],T11GA4LandingDaily[target_country],$B19,T11GA4LandingDaily[language],$C19,T11GA4LandingDaily[date],"&gt;="&amp;$A19,T11GA4LandingDaily[date],"&lt;"&amp;DATE(YEAR($A19),MONTH($A19)+1,1),T11GA4LandingDaily[session_channel],"Organic Search",T11GA4LandingDaily[data_quality],"Measured")))</x:f>
      </x:c>
      <x:c r="Q19" s="18" t="str">
        <x:f>IF(P19="","",'25_Config'!$B$11)</x:f>
      </x:c>
      <x:c r="R19" s="28"/>
      <x:c r="S19" s="18" t="str">
        <x:f>IF(AND(D19=0,I19=0),"Not refreshed","Check completeness, gaps and sample size")</x:f>
        <x:v>Not refreshed</x:v>
      </x:c>
    </x:row>
    <x:row r="20" ht="30" customHeight="1">
      <x:c r="A20" s="22" t="n">
        <x:v>46204</x:v>
      </x:c>
      <x:c r="B20" s="18" t="str">
        <x:v>Portugal</x:v>
      </x:c>
      <x:c r="C20" s="18" t="str">
        <x:v>es</x:v>
      </x:c>
      <x:c r="D20" s="18" t="n">
        <x:f>COUNTIFS(T09GSCPageDaily[target_country],$B20,T09GSCPageDaily[language],$C20,T09GSCPageDaily[date],"&gt;="&amp;$A20,T09GSCPageDaily[date],"&lt;"&amp;DATE(YEAR($A20),MONTH($A20)+1,1),T09GSCPageDaily[data_state],"final")</x:f>
        <x:v>0</x:v>
      </x:c>
      <x:c r="E20" s="24" t="str">
        <x:f>IF(D20=0,"",SUMIFS(T09GSCPageDaily[clicks],T09GSCPageDaily[target_country],$B20,T09GSCPageDaily[language],$C20,T09GSCPageDaily[date],"&gt;="&amp;$A20,T09GSCPageDaily[date],"&lt;"&amp;DATE(YEAR($A20),MONTH($A20)+1,1),T09GSCPageDaily[data_state],"final"))</x:f>
      </x:c>
      <x:c r="F20" s="24" t="str">
        <x:f>IF(D20=0,"",SUMIFS(T09GSCPageDaily[impressions],T09GSCPageDaily[target_country],$B20,T09GSCPageDaily[language],$C20,T09GSCPageDaily[date],"&gt;="&amp;$A20,T09GSCPageDaily[date],"&lt;"&amp;DATE(YEAR($A20),MONTH($A20)+1,1),T09GSCPageDaily[data_state],"final"))</x:f>
      </x:c>
      <x:c r="G20" s="28" t="str">
        <x:f>IFERROR(IF(D20=0,"",E20/F20),"")</x:f>
      </x:c>
      <x:c r="H20" s="26" t="str">
        <x:f>IF(D20=0,"",IFERROR(SUMPRODUCT((T09GSCPageDaily[target_country]=$B20)*(T09GSCPageDaily[language]=$C20)*(T09GSCPageDaily[date]&gt;=$A20)*(T09GSCPageDaily[date]&lt;DATE(YEAR($A20),MONTH($A20)+1,1))*(T09GSCPageDaily[data_state]="final")*T09GSCPageDaily[avg_position]*T09GSCPageDaily[impressions])/F20,""))</x:f>
      </x:c>
      <x:c r="I20" s="18" t="n">
        <x:f>COUNTIFS(T11GA4LandingDaily[target_country],$B20,T11GA4LandingDaily[language],$C20,T11GA4LandingDaily[date],"&gt;="&amp;$A20,T11GA4LandingDaily[date],"&lt;"&amp;DATE(YEAR($A20),MONTH($A20)+1,1),T11GA4LandingDaily[session_channel],"Organic Search",T11GA4LandingDaily[data_quality],"Measured")</x:f>
        <x:v>0</x:v>
      </x:c>
      <x:c r="J20" s="18" t="str">
        <x:f>IF(I20=0,"",SUMIFS(T11GA4LandingDaily[sessions],T11GA4LandingDaily[target_country],$B20,T11GA4LandingDaily[language],$C20,T11GA4LandingDaily[date],"&gt;="&amp;$A20,T11GA4LandingDaily[date],"&lt;"&amp;DATE(YEAR($A20),MONTH($A20)+1,1),T11GA4LandingDaily[session_channel],"Organic Search",T11GA4LandingDaily[data_quality],"Measured"))</x:f>
      </x:c>
      <x:c r="K20" s="24" t="str">
        <x:f>IF(I20=0,"",SUMIFS(T11GA4LandingDaily[engaged_sessions],T11GA4LandingDaily[target_country],$B20,T11GA4LandingDaily[language],$C20,T11GA4LandingDaily[date],"&gt;="&amp;$A20,T11GA4LandingDaily[date],"&lt;"&amp;DATE(YEAR($A20),MONTH($A20)+1,1),T11GA4LandingDaily[session_channel],"Organic Search",T11GA4LandingDaily[data_quality],"Measured"))</x:f>
      </x:c>
      <x:c r="L20" s="28" t="str">
        <x:f>IFERROR(IF(I20=0,"",K20/J20),"")</x:f>
      </x:c>
      <x:c r="M20" s="24" t="str">
        <x:f>IF(I20=0,"",SUMIFS(T11GA4LandingDaily[key_events],T11GA4LandingDaily[target_country],$B20,T11GA4LandingDaily[language],$C20,T11GA4LandingDaily[date],"&gt;="&amp;$A20,T11GA4LandingDaily[date],"&lt;"&amp;DATE(YEAR($A20),MONTH($A20)+1,1),T11GA4LandingDaily[session_channel],"Organic Search",T11GA4LandingDaily[data_quality],"Measured"))</x:f>
      </x:c>
      <x:c r="N20" s="24" t="str">
        <x:f>IF(I20=0,"",SUMIFS(T11GA4LandingDaily[booking_starts],T11GA4LandingDaily[target_country],$B20,T11GA4LandingDaily[language],$C20,T11GA4LandingDaily[date],"&gt;="&amp;$A20,T11GA4LandingDaily[date],"&lt;"&amp;DATE(YEAR($A20),MONTH($A20)+1,1),T11GA4LandingDaily[session_channel],"Organic Search",T11GA4LandingDaily[data_quality],"Measured"))</x:f>
      </x:c>
      <x:c r="O20" s="24" t="str">
        <x:f>IF(I20=0,"",SUMIFS(T11GA4LandingDaily[purchases],T11GA4LandingDaily[target_country],$B20,T11GA4LandingDaily[language],$C20,T11GA4LandingDaily[date],"&gt;="&amp;$A20,T11GA4LandingDaily[date],"&lt;"&amp;DATE(YEAR($A20),MONTH($A20)+1,1),T11GA4LandingDaily[session_channel],"Organic Search",T11GA4LandingDaily[data_quality],"Measured"))</x:f>
      </x:c>
      <x:c r="P20" s="18" t="str">
        <x:f>IF(OR(I20=0,'25_Config'!$B$11=""),"",IF(COUNTIFS(T11GA4LandingDaily[target_country],$B20,T11GA4LandingDaily[language],$C20,T11GA4LandingDaily[date],"&gt;="&amp;$A20,T11GA4LandingDaily[date],"&lt;"&amp;DATE(YEAR($A20),MONTH($A20)+1,1),T11GA4LandingDaily[session_channel],"Organic Search",T11GA4LandingDaily[data_quality],"Measured",T11GA4LandingDaily[currency],"&lt;&gt;"&amp;'25_Config'!$B$11)&gt;0,"",SUMIFS(T11GA4LandingDaily[purchase_revenue],T11GA4LandingDaily[target_country],$B20,T11GA4LandingDaily[language],$C20,T11GA4LandingDaily[date],"&gt;="&amp;$A20,T11GA4LandingDaily[date],"&lt;"&amp;DATE(YEAR($A20),MONTH($A20)+1,1),T11GA4LandingDaily[session_channel],"Organic Search",T11GA4LandingDaily[data_quality],"Measured")))</x:f>
      </x:c>
      <x:c r="Q20" s="18" t="str">
        <x:f>IF(P20="","",'25_Config'!$B$11)</x:f>
      </x:c>
      <x:c r="R20" s="28"/>
      <x:c r="S20" s="18" t="str">
        <x:f>IF(AND(D20=0,I20=0),"Not refreshed","Check completeness, gaps and sample size")</x:f>
        <x:v>Not refreshed</x:v>
      </x:c>
    </x:row>
    <x:row r="21" ht="30" customHeight="1">
      <x:c r="A21" s="22" t="n">
        <x:v>46204</x:v>
      </x:c>
      <x:c r="B21" s="18" t="str">
        <x:v>Portugal</x:v>
      </x:c>
      <x:c r="C21" s="18" t="str">
        <x:v>cs</x:v>
      </x:c>
      <x:c r="D21" s="18" t="n">
        <x:f>COUNTIFS(T09GSCPageDaily[target_country],$B21,T09GSCPageDaily[language],$C21,T09GSCPageDaily[date],"&gt;="&amp;$A21,T09GSCPageDaily[date],"&lt;"&amp;DATE(YEAR($A21),MONTH($A21)+1,1),T09GSCPageDaily[data_state],"final")</x:f>
        <x:v>0</x:v>
      </x:c>
      <x:c r="E21" s="24" t="str">
        <x:f>IF(D21=0,"",SUMIFS(T09GSCPageDaily[clicks],T09GSCPageDaily[target_country],$B21,T09GSCPageDaily[language],$C21,T09GSCPageDaily[date],"&gt;="&amp;$A21,T09GSCPageDaily[date],"&lt;"&amp;DATE(YEAR($A21),MONTH($A21)+1,1),T09GSCPageDaily[data_state],"final"))</x:f>
      </x:c>
      <x:c r="F21" s="24" t="str">
        <x:f>IF(D21=0,"",SUMIFS(T09GSCPageDaily[impressions],T09GSCPageDaily[target_country],$B21,T09GSCPageDaily[language],$C21,T09GSCPageDaily[date],"&gt;="&amp;$A21,T09GSCPageDaily[date],"&lt;"&amp;DATE(YEAR($A21),MONTH($A21)+1,1),T09GSCPageDaily[data_state],"final"))</x:f>
      </x:c>
      <x:c r="G21" s="28" t="str">
        <x:f>IFERROR(IF(D21=0,"",E21/F21),"")</x:f>
      </x:c>
      <x:c r="H21" s="26" t="str">
        <x:f>IF(D21=0,"",IFERROR(SUMPRODUCT((T09GSCPageDaily[target_country]=$B21)*(T09GSCPageDaily[language]=$C21)*(T09GSCPageDaily[date]&gt;=$A21)*(T09GSCPageDaily[date]&lt;DATE(YEAR($A21),MONTH($A21)+1,1))*(T09GSCPageDaily[data_state]="final")*T09GSCPageDaily[avg_position]*T09GSCPageDaily[impressions])/F21,""))</x:f>
      </x:c>
      <x:c r="I21" s="18" t="n">
        <x:f>COUNTIFS(T11GA4LandingDaily[target_country],$B21,T11GA4LandingDaily[language],$C21,T11GA4LandingDaily[date],"&gt;="&amp;$A21,T11GA4LandingDaily[date],"&lt;"&amp;DATE(YEAR($A21),MONTH($A21)+1,1),T11GA4LandingDaily[session_channel],"Organic Search",T11GA4LandingDaily[data_quality],"Measured")</x:f>
        <x:v>0</x:v>
      </x:c>
      <x:c r="J21" s="18" t="str">
        <x:f>IF(I21=0,"",SUMIFS(T11GA4LandingDaily[sessions],T11GA4LandingDaily[target_country],$B21,T11GA4LandingDaily[language],$C21,T11GA4LandingDaily[date],"&gt;="&amp;$A21,T11GA4LandingDaily[date],"&lt;"&amp;DATE(YEAR($A21),MONTH($A21)+1,1),T11GA4LandingDaily[session_channel],"Organic Search",T11GA4LandingDaily[data_quality],"Measured"))</x:f>
      </x:c>
      <x:c r="K21" s="24" t="str">
        <x:f>IF(I21=0,"",SUMIFS(T11GA4LandingDaily[engaged_sessions],T11GA4LandingDaily[target_country],$B21,T11GA4LandingDaily[language],$C21,T11GA4LandingDaily[date],"&gt;="&amp;$A21,T11GA4LandingDaily[date],"&lt;"&amp;DATE(YEAR($A21),MONTH($A21)+1,1),T11GA4LandingDaily[session_channel],"Organic Search",T11GA4LandingDaily[data_quality],"Measured"))</x:f>
      </x:c>
      <x:c r="L21" s="28" t="str">
        <x:f>IFERROR(IF(I21=0,"",K21/J21),"")</x:f>
      </x:c>
      <x:c r="M21" s="24" t="str">
        <x:f>IF(I21=0,"",SUMIFS(T11GA4LandingDaily[key_events],T11GA4LandingDaily[target_country],$B21,T11GA4LandingDaily[language],$C21,T11GA4LandingDaily[date],"&gt;="&amp;$A21,T11GA4LandingDaily[date],"&lt;"&amp;DATE(YEAR($A21),MONTH($A21)+1,1),T11GA4LandingDaily[session_channel],"Organic Search",T11GA4LandingDaily[data_quality],"Measured"))</x:f>
      </x:c>
      <x:c r="N21" s="24" t="str">
        <x:f>IF(I21=0,"",SUMIFS(T11GA4LandingDaily[booking_starts],T11GA4LandingDaily[target_country],$B21,T11GA4LandingDaily[language],$C21,T11GA4LandingDaily[date],"&gt;="&amp;$A21,T11GA4LandingDaily[date],"&lt;"&amp;DATE(YEAR($A21),MONTH($A21)+1,1),T11GA4LandingDaily[session_channel],"Organic Search",T11GA4LandingDaily[data_quality],"Measured"))</x:f>
      </x:c>
      <x:c r="O21" s="24" t="str">
        <x:f>IF(I21=0,"",SUMIFS(T11GA4LandingDaily[purchases],T11GA4LandingDaily[target_country],$B21,T11GA4LandingDaily[language],$C21,T11GA4LandingDaily[date],"&gt;="&amp;$A21,T11GA4LandingDaily[date],"&lt;"&amp;DATE(YEAR($A21),MONTH($A21)+1,1),T11GA4LandingDaily[session_channel],"Organic Search",T11GA4LandingDaily[data_quality],"Measured"))</x:f>
      </x:c>
      <x:c r="P21" s="18" t="str">
        <x:f>IF(OR(I21=0,'25_Config'!$B$11=""),"",IF(COUNTIFS(T11GA4LandingDaily[target_country],$B21,T11GA4LandingDaily[language],$C21,T11GA4LandingDaily[date],"&gt;="&amp;$A21,T11GA4LandingDaily[date],"&lt;"&amp;DATE(YEAR($A21),MONTH($A21)+1,1),T11GA4LandingDaily[session_channel],"Organic Search",T11GA4LandingDaily[data_quality],"Measured",T11GA4LandingDaily[currency],"&lt;&gt;"&amp;'25_Config'!$B$11)&gt;0,"",SUMIFS(T11GA4LandingDaily[purchase_revenue],T11GA4LandingDaily[target_country],$B21,T11GA4LandingDaily[language],$C21,T11GA4LandingDaily[date],"&gt;="&amp;$A21,T11GA4LandingDaily[date],"&lt;"&amp;DATE(YEAR($A21),MONTH($A21)+1,1),T11GA4LandingDaily[session_channel],"Organic Search",T11GA4LandingDaily[data_quality],"Measured")))</x:f>
      </x:c>
      <x:c r="Q21" s="18" t="str">
        <x:f>IF(P21="","",'25_Config'!$B$11)</x:f>
      </x:c>
      <x:c r="R21" s="28"/>
      <x:c r="S21" s="18" t="str">
        <x:f>IF(AND(D21=0,I21=0),"Not refreshed","Check completeness, gaps and sample size")</x:f>
        <x:v>Not refreshed</x:v>
      </x:c>
    </x:row>
    <x:row r="22" ht="30" customHeight="1">
      <x:c r="A22" s="22" t="n">
        <x:v>46204</x:v>
      </x:c>
      <x:c r="B22" s="18" t="str">
        <x:v>Portugal</x:v>
      </x:c>
      <x:c r="C22" s="18" t="str">
        <x:v>ro</x:v>
      </x:c>
      <x:c r="D22" s="18" t="n">
        <x:f>COUNTIFS(T09GSCPageDaily[target_country],$B22,T09GSCPageDaily[language],$C22,T09GSCPageDaily[date],"&gt;="&amp;$A22,T09GSCPageDaily[date],"&lt;"&amp;DATE(YEAR($A22),MONTH($A22)+1,1),T09GSCPageDaily[data_state],"final")</x:f>
        <x:v>0</x:v>
      </x:c>
      <x:c r="E22" s="24" t="str">
        <x:f>IF(D22=0,"",SUMIFS(T09GSCPageDaily[clicks],T09GSCPageDaily[target_country],$B22,T09GSCPageDaily[language],$C22,T09GSCPageDaily[date],"&gt;="&amp;$A22,T09GSCPageDaily[date],"&lt;"&amp;DATE(YEAR($A22),MONTH($A22)+1,1),T09GSCPageDaily[data_state],"final"))</x:f>
      </x:c>
      <x:c r="F22" s="24" t="str">
        <x:f>IF(D22=0,"",SUMIFS(T09GSCPageDaily[impressions],T09GSCPageDaily[target_country],$B22,T09GSCPageDaily[language],$C22,T09GSCPageDaily[date],"&gt;="&amp;$A22,T09GSCPageDaily[date],"&lt;"&amp;DATE(YEAR($A22),MONTH($A22)+1,1),T09GSCPageDaily[data_state],"final"))</x:f>
      </x:c>
      <x:c r="G22" s="28" t="str">
        <x:f>IFERROR(IF(D22=0,"",E22/F22),"")</x:f>
      </x:c>
      <x:c r="H22" s="26" t="str">
        <x:f>IF(D22=0,"",IFERROR(SUMPRODUCT((T09GSCPageDaily[target_country]=$B22)*(T09GSCPageDaily[language]=$C22)*(T09GSCPageDaily[date]&gt;=$A22)*(T09GSCPageDaily[date]&lt;DATE(YEAR($A22),MONTH($A22)+1,1))*(T09GSCPageDaily[data_state]="final")*T09GSCPageDaily[avg_position]*T09GSCPageDaily[impressions])/F22,""))</x:f>
      </x:c>
      <x:c r="I22" s="18" t="n">
        <x:f>COUNTIFS(T11GA4LandingDaily[target_country],$B22,T11GA4LandingDaily[language],$C22,T11GA4LandingDaily[date],"&gt;="&amp;$A22,T11GA4LandingDaily[date],"&lt;"&amp;DATE(YEAR($A22),MONTH($A22)+1,1),T11GA4LandingDaily[session_channel],"Organic Search",T11GA4LandingDaily[data_quality],"Measured")</x:f>
        <x:v>0</x:v>
      </x:c>
      <x:c r="J22" s="18" t="str">
        <x:f>IF(I22=0,"",SUMIFS(T11GA4LandingDaily[sessions],T11GA4LandingDaily[target_country],$B22,T11GA4LandingDaily[language],$C22,T11GA4LandingDaily[date],"&gt;="&amp;$A22,T11GA4LandingDaily[date],"&lt;"&amp;DATE(YEAR($A22),MONTH($A22)+1,1),T11GA4LandingDaily[session_channel],"Organic Search",T11GA4LandingDaily[data_quality],"Measured"))</x:f>
      </x:c>
      <x:c r="K22" s="24" t="str">
        <x:f>IF(I22=0,"",SUMIFS(T11GA4LandingDaily[engaged_sessions],T11GA4LandingDaily[target_country],$B22,T11GA4LandingDaily[language],$C22,T11GA4LandingDaily[date],"&gt;="&amp;$A22,T11GA4LandingDaily[date],"&lt;"&amp;DATE(YEAR($A22),MONTH($A22)+1,1),T11GA4LandingDaily[session_channel],"Organic Search",T11GA4LandingDaily[data_quality],"Measured"))</x:f>
      </x:c>
      <x:c r="L22" s="28" t="str">
        <x:f>IFERROR(IF(I22=0,"",K22/J22),"")</x:f>
      </x:c>
      <x:c r="M22" s="24" t="str">
        <x:f>IF(I22=0,"",SUMIFS(T11GA4LandingDaily[key_events],T11GA4LandingDaily[target_country],$B22,T11GA4LandingDaily[language],$C22,T11GA4LandingDaily[date],"&gt;="&amp;$A22,T11GA4LandingDaily[date],"&lt;"&amp;DATE(YEAR($A22),MONTH($A22)+1,1),T11GA4LandingDaily[session_channel],"Organic Search",T11GA4LandingDaily[data_quality],"Measured"))</x:f>
      </x:c>
      <x:c r="N22" s="24" t="str">
        <x:f>IF(I22=0,"",SUMIFS(T11GA4LandingDaily[booking_starts],T11GA4LandingDaily[target_country],$B22,T11GA4LandingDaily[language],$C22,T11GA4LandingDaily[date],"&gt;="&amp;$A22,T11GA4LandingDaily[date],"&lt;"&amp;DATE(YEAR($A22),MONTH($A22)+1,1),T11GA4LandingDaily[session_channel],"Organic Search",T11GA4LandingDaily[data_quality],"Measured"))</x:f>
      </x:c>
      <x:c r="O22" s="24" t="str">
        <x:f>IF(I22=0,"",SUMIFS(T11GA4LandingDaily[purchases],T11GA4LandingDaily[target_country],$B22,T11GA4LandingDaily[language],$C22,T11GA4LandingDaily[date],"&gt;="&amp;$A22,T11GA4LandingDaily[date],"&lt;"&amp;DATE(YEAR($A22),MONTH($A22)+1,1),T11GA4LandingDaily[session_channel],"Organic Search",T11GA4LandingDaily[data_quality],"Measured"))</x:f>
      </x:c>
      <x:c r="P22" s="18" t="str">
        <x:f>IF(OR(I22=0,'25_Config'!$B$11=""),"",IF(COUNTIFS(T11GA4LandingDaily[target_country],$B22,T11GA4LandingDaily[language],$C22,T11GA4LandingDaily[date],"&gt;="&amp;$A22,T11GA4LandingDaily[date],"&lt;"&amp;DATE(YEAR($A22),MONTH($A22)+1,1),T11GA4LandingDaily[session_channel],"Organic Search",T11GA4LandingDaily[data_quality],"Measured",T11GA4LandingDaily[currency],"&lt;&gt;"&amp;'25_Config'!$B$11)&gt;0,"",SUMIFS(T11GA4LandingDaily[purchase_revenue],T11GA4LandingDaily[target_country],$B22,T11GA4LandingDaily[language],$C22,T11GA4LandingDaily[date],"&gt;="&amp;$A22,T11GA4LandingDaily[date],"&lt;"&amp;DATE(YEAR($A22),MONTH($A22)+1,1),T11GA4LandingDaily[session_channel],"Organic Search",T11GA4LandingDaily[data_quality],"Measured")))</x:f>
      </x:c>
      <x:c r="Q22" s="18" t="str">
        <x:f>IF(P22="","",'25_Config'!$B$11)</x:f>
      </x:c>
      <x:c r="R22" s="28"/>
      <x:c r="S22" s="18" t="str">
        <x:f>IF(AND(D22=0,I22=0),"Not refreshed","Check completeness, gaps and sample size")</x:f>
        <x:v>Not refreshed</x:v>
      </x:c>
    </x:row>
    <x:row r="23" ht="30" customHeight="1">
      <x:c r="A23" s="22" t="n">
        <x:v>46204</x:v>
      </x:c>
      <x:c r="B23" s="18" t="str">
        <x:v>Portugal</x:v>
      </x:c>
      <x:c r="C23" s="18" t="str">
        <x:v>de</x:v>
      </x:c>
      <x:c r="D23" s="18" t="n">
        <x:f>COUNTIFS(T09GSCPageDaily[target_country],$B23,T09GSCPageDaily[language],$C23,T09GSCPageDaily[date],"&gt;="&amp;$A23,T09GSCPageDaily[date],"&lt;"&amp;DATE(YEAR($A23),MONTH($A23)+1,1),T09GSCPageDaily[data_state],"final")</x:f>
        <x:v>0</x:v>
      </x:c>
      <x:c r="E23" s="24" t="str">
        <x:f>IF(D23=0,"",SUMIFS(T09GSCPageDaily[clicks],T09GSCPageDaily[target_country],$B23,T09GSCPageDaily[language],$C23,T09GSCPageDaily[date],"&gt;="&amp;$A23,T09GSCPageDaily[date],"&lt;"&amp;DATE(YEAR($A23),MONTH($A23)+1,1),T09GSCPageDaily[data_state],"final"))</x:f>
      </x:c>
      <x:c r="F23" s="24" t="str">
        <x:f>IF(D23=0,"",SUMIFS(T09GSCPageDaily[impressions],T09GSCPageDaily[target_country],$B23,T09GSCPageDaily[language],$C23,T09GSCPageDaily[date],"&gt;="&amp;$A23,T09GSCPageDaily[date],"&lt;"&amp;DATE(YEAR($A23),MONTH($A23)+1,1),T09GSCPageDaily[data_state],"final"))</x:f>
      </x:c>
      <x:c r="G23" s="28" t="str">
        <x:f>IFERROR(IF(D23=0,"",E23/F23),"")</x:f>
      </x:c>
      <x:c r="H23" s="26" t="str">
        <x:f>IF(D23=0,"",IFERROR(SUMPRODUCT((T09GSCPageDaily[target_country]=$B23)*(T09GSCPageDaily[language]=$C23)*(T09GSCPageDaily[date]&gt;=$A23)*(T09GSCPageDaily[date]&lt;DATE(YEAR($A23),MONTH($A23)+1,1))*(T09GSCPageDaily[data_state]="final")*T09GSCPageDaily[avg_position]*T09GSCPageDaily[impressions])/F23,""))</x:f>
      </x:c>
      <x:c r="I23" s="18" t="n">
        <x:f>COUNTIFS(T11GA4LandingDaily[target_country],$B23,T11GA4LandingDaily[language],$C23,T11GA4LandingDaily[date],"&gt;="&amp;$A23,T11GA4LandingDaily[date],"&lt;"&amp;DATE(YEAR($A23),MONTH($A23)+1,1),T11GA4LandingDaily[session_channel],"Organic Search",T11GA4LandingDaily[data_quality],"Measured")</x:f>
        <x:v>0</x:v>
      </x:c>
      <x:c r="J23" s="18" t="str">
        <x:f>IF(I23=0,"",SUMIFS(T11GA4LandingDaily[sessions],T11GA4LandingDaily[target_country],$B23,T11GA4LandingDaily[language],$C23,T11GA4LandingDaily[date],"&gt;="&amp;$A23,T11GA4LandingDaily[date],"&lt;"&amp;DATE(YEAR($A23),MONTH($A23)+1,1),T11GA4LandingDaily[session_channel],"Organic Search",T11GA4LandingDaily[data_quality],"Measured"))</x:f>
      </x:c>
      <x:c r="K23" s="24" t="str">
        <x:f>IF(I23=0,"",SUMIFS(T11GA4LandingDaily[engaged_sessions],T11GA4LandingDaily[target_country],$B23,T11GA4LandingDaily[language],$C23,T11GA4LandingDaily[date],"&gt;="&amp;$A23,T11GA4LandingDaily[date],"&lt;"&amp;DATE(YEAR($A23),MONTH($A23)+1,1),T11GA4LandingDaily[session_channel],"Organic Search",T11GA4LandingDaily[data_quality],"Measured"))</x:f>
      </x:c>
      <x:c r="L23" s="28" t="str">
        <x:f>IFERROR(IF(I23=0,"",K23/J23),"")</x:f>
      </x:c>
      <x:c r="M23" s="24" t="str">
        <x:f>IF(I23=0,"",SUMIFS(T11GA4LandingDaily[key_events],T11GA4LandingDaily[target_country],$B23,T11GA4LandingDaily[language],$C23,T11GA4LandingDaily[date],"&gt;="&amp;$A23,T11GA4LandingDaily[date],"&lt;"&amp;DATE(YEAR($A23),MONTH($A23)+1,1),T11GA4LandingDaily[session_channel],"Organic Search",T11GA4LandingDaily[data_quality],"Measured"))</x:f>
      </x:c>
      <x:c r="N23" s="24" t="str">
        <x:f>IF(I23=0,"",SUMIFS(T11GA4LandingDaily[booking_starts],T11GA4LandingDaily[target_country],$B23,T11GA4LandingDaily[language],$C23,T11GA4LandingDaily[date],"&gt;="&amp;$A23,T11GA4LandingDaily[date],"&lt;"&amp;DATE(YEAR($A23),MONTH($A23)+1,1),T11GA4LandingDaily[session_channel],"Organic Search",T11GA4LandingDaily[data_quality],"Measured"))</x:f>
      </x:c>
      <x:c r="O23" s="24" t="str">
        <x:f>IF(I23=0,"",SUMIFS(T11GA4LandingDaily[purchases],T11GA4LandingDaily[target_country],$B23,T11GA4LandingDaily[language],$C23,T11GA4LandingDaily[date],"&gt;="&amp;$A23,T11GA4LandingDaily[date],"&lt;"&amp;DATE(YEAR($A23),MONTH($A23)+1,1),T11GA4LandingDaily[session_channel],"Organic Search",T11GA4LandingDaily[data_quality],"Measured"))</x:f>
      </x:c>
      <x:c r="P23" s="18" t="str">
        <x:f>IF(OR(I23=0,'25_Config'!$B$11=""),"",IF(COUNTIFS(T11GA4LandingDaily[target_country],$B23,T11GA4LandingDaily[language],$C23,T11GA4LandingDaily[date],"&gt;="&amp;$A23,T11GA4LandingDaily[date],"&lt;"&amp;DATE(YEAR($A23),MONTH($A23)+1,1),T11GA4LandingDaily[session_channel],"Organic Search",T11GA4LandingDaily[data_quality],"Measured",T11GA4LandingDaily[currency],"&lt;&gt;"&amp;'25_Config'!$B$11)&gt;0,"",SUMIFS(T11GA4LandingDaily[purchase_revenue],T11GA4LandingDaily[target_country],$B23,T11GA4LandingDaily[language],$C23,T11GA4LandingDaily[date],"&gt;="&amp;$A23,T11GA4LandingDaily[date],"&lt;"&amp;DATE(YEAR($A23),MONTH($A23)+1,1),T11GA4LandingDaily[session_channel],"Organic Search",T11GA4LandingDaily[data_quality],"Measured")))</x:f>
      </x:c>
      <x:c r="Q23" s="18" t="str">
        <x:f>IF(P23="","",'25_Config'!$B$11)</x:f>
      </x:c>
      <x:c r="R23" s="28"/>
      <x:c r="S23" s="18" t="str">
        <x:f>IF(AND(D23=0,I23=0),"Not refreshed","Check completeness, gaps and sample size")</x:f>
        <x:v>Not refreshed</x:v>
      </x:c>
    </x:row>
    <x:row r="24" ht="30" customHeight="1">
      <x:c r="A24" s="22" t="n">
        <x:v>46204</x:v>
      </x:c>
      <x:c r="B24" s="18" t="str">
        <x:v>Spain</x:v>
      </x:c>
      <x:c r="C24" s="18" t="str">
        <x:v>es</x:v>
      </x:c>
      <x:c r="D24" s="18" t="n">
        <x:f>COUNTIFS(T09GSCPageDaily[target_country],$B24,T09GSCPageDaily[language],$C24,T09GSCPageDaily[date],"&gt;="&amp;$A24,T09GSCPageDaily[date],"&lt;"&amp;DATE(YEAR($A24),MONTH($A24)+1,1),T09GSCPageDaily[data_state],"final")</x:f>
        <x:v>0</x:v>
      </x:c>
      <x:c r="E24" s="24" t="str">
        <x:f>IF(D24=0,"",SUMIFS(T09GSCPageDaily[clicks],T09GSCPageDaily[target_country],$B24,T09GSCPageDaily[language],$C24,T09GSCPageDaily[date],"&gt;="&amp;$A24,T09GSCPageDaily[date],"&lt;"&amp;DATE(YEAR($A24),MONTH($A24)+1,1),T09GSCPageDaily[data_state],"final"))</x:f>
      </x:c>
      <x:c r="F24" s="24" t="str">
        <x:f>IF(D24=0,"",SUMIFS(T09GSCPageDaily[impressions],T09GSCPageDaily[target_country],$B24,T09GSCPageDaily[language],$C24,T09GSCPageDaily[date],"&gt;="&amp;$A24,T09GSCPageDaily[date],"&lt;"&amp;DATE(YEAR($A24),MONTH($A24)+1,1),T09GSCPageDaily[data_state],"final"))</x:f>
      </x:c>
      <x:c r="G24" s="28" t="str">
        <x:f>IFERROR(IF(D24=0,"",E24/F24),"")</x:f>
      </x:c>
      <x:c r="H24" s="26" t="str">
        <x:f>IF(D24=0,"",IFERROR(SUMPRODUCT((T09GSCPageDaily[target_country]=$B24)*(T09GSCPageDaily[language]=$C24)*(T09GSCPageDaily[date]&gt;=$A24)*(T09GSCPageDaily[date]&lt;DATE(YEAR($A24),MONTH($A24)+1,1))*(T09GSCPageDaily[data_state]="final")*T09GSCPageDaily[avg_position]*T09GSCPageDaily[impressions])/F24,""))</x:f>
      </x:c>
      <x:c r="I24" s="18" t="n">
        <x:f>COUNTIFS(T11GA4LandingDaily[target_country],$B24,T11GA4LandingDaily[language],$C24,T11GA4LandingDaily[date],"&gt;="&amp;$A24,T11GA4LandingDaily[date],"&lt;"&amp;DATE(YEAR($A24),MONTH($A24)+1,1),T11GA4LandingDaily[session_channel],"Organic Search",T11GA4LandingDaily[data_quality],"Measured")</x:f>
        <x:v>0</x:v>
      </x:c>
      <x:c r="J24" s="18" t="str">
        <x:f>IF(I24=0,"",SUMIFS(T11GA4LandingDaily[sessions],T11GA4LandingDaily[target_country],$B24,T11GA4LandingDaily[language],$C24,T11GA4LandingDaily[date],"&gt;="&amp;$A24,T11GA4LandingDaily[date],"&lt;"&amp;DATE(YEAR($A24),MONTH($A24)+1,1),T11GA4LandingDaily[session_channel],"Organic Search",T11GA4LandingDaily[data_quality],"Measured"))</x:f>
      </x:c>
      <x:c r="K24" s="24" t="str">
        <x:f>IF(I24=0,"",SUMIFS(T11GA4LandingDaily[engaged_sessions],T11GA4LandingDaily[target_country],$B24,T11GA4LandingDaily[language],$C24,T11GA4LandingDaily[date],"&gt;="&amp;$A24,T11GA4LandingDaily[date],"&lt;"&amp;DATE(YEAR($A24),MONTH($A24)+1,1),T11GA4LandingDaily[session_channel],"Organic Search",T11GA4LandingDaily[data_quality],"Measured"))</x:f>
      </x:c>
      <x:c r="L24" s="28" t="str">
        <x:f>IFERROR(IF(I24=0,"",K24/J24),"")</x:f>
      </x:c>
      <x:c r="M24" s="24" t="str">
        <x:f>IF(I24=0,"",SUMIFS(T11GA4LandingDaily[key_events],T11GA4LandingDaily[target_country],$B24,T11GA4LandingDaily[language],$C24,T11GA4LandingDaily[date],"&gt;="&amp;$A24,T11GA4LandingDaily[date],"&lt;"&amp;DATE(YEAR($A24),MONTH($A24)+1,1),T11GA4LandingDaily[session_channel],"Organic Search",T11GA4LandingDaily[data_quality],"Measured"))</x:f>
      </x:c>
      <x:c r="N24" s="24" t="str">
        <x:f>IF(I24=0,"",SUMIFS(T11GA4LandingDaily[booking_starts],T11GA4LandingDaily[target_country],$B24,T11GA4LandingDaily[language],$C24,T11GA4LandingDaily[date],"&gt;="&amp;$A24,T11GA4LandingDaily[date],"&lt;"&amp;DATE(YEAR($A24),MONTH($A24)+1,1),T11GA4LandingDaily[session_channel],"Organic Search",T11GA4LandingDaily[data_quality],"Measured"))</x:f>
      </x:c>
      <x:c r="O24" s="24" t="str">
        <x:f>IF(I24=0,"",SUMIFS(T11GA4LandingDaily[purchases],T11GA4LandingDaily[target_country],$B24,T11GA4LandingDaily[language],$C24,T11GA4LandingDaily[date],"&gt;="&amp;$A24,T11GA4LandingDaily[date],"&lt;"&amp;DATE(YEAR($A24),MONTH($A24)+1,1),T11GA4LandingDaily[session_channel],"Organic Search",T11GA4LandingDaily[data_quality],"Measured"))</x:f>
      </x:c>
      <x:c r="P24" s="18" t="str">
        <x:f>IF(OR(I24=0,'25_Config'!$B$11=""),"",IF(COUNTIFS(T11GA4LandingDaily[target_country],$B24,T11GA4LandingDaily[language],$C24,T11GA4LandingDaily[date],"&gt;="&amp;$A24,T11GA4LandingDaily[date],"&lt;"&amp;DATE(YEAR($A24),MONTH($A24)+1,1),T11GA4LandingDaily[session_channel],"Organic Search",T11GA4LandingDaily[data_quality],"Measured",T11GA4LandingDaily[currency],"&lt;&gt;"&amp;'25_Config'!$B$11)&gt;0,"",SUMIFS(T11GA4LandingDaily[purchase_revenue],T11GA4LandingDaily[target_country],$B24,T11GA4LandingDaily[language],$C24,T11GA4LandingDaily[date],"&gt;="&amp;$A24,T11GA4LandingDaily[date],"&lt;"&amp;DATE(YEAR($A24),MONTH($A24)+1,1),T11GA4LandingDaily[session_channel],"Organic Search",T11GA4LandingDaily[data_quality],"Measured")))</x:f>
      </x:c>
      <x:c r="Q24" s="18" t="str">
        <x:f>IF(P24="","",'25_Config'!$B$11)</x:f>
      </x:c>
      <x:c r="R24" s="28"/>
      <x:c r="S24" s="18" t="str">
        <x:f>IF(AND(D24=0,I24=0),"Not refreshed","Check completeness, gaps and sample size")</x:f>
        <x:v>Not refreshed</x:v>
      </x:c>
    </x:row>
    <x:row r="25" ht="30" customHeight="1">
      <x:c r="A25" s="22" t="n">
        <x:v>46204</x:v>
      </x:c>
      <x:c r="B25" s="18" t="str">
        <x:v>Spain</x:v>
      </x:c>
      <x:c r="C25" s="18" t="str">
        <x:v>en</x:v>
      </x:c>
      <x:c r="D25" s="18" t="n">
        <x:f>COUNTIFS(T09GSCPageDaily[target_country],$B25,T09GSCPageDaily[language],$C25,T09GSCPageDaily[date],"&gt;="&amp;$A25,T09GSCPageDaily[date],"&lt;"&amp;DATE(YEAR($A25),MONTH($A25)+1,1),T09GSCPageDaily[data_state],"final")</x:f>
        <x:v>0</x:v>
      </x:c>
      <x:c r="E25" s="24" t="str">
        <x:f>IF(D25=0,"",SUMIFS(T09GSCPageDaily[clicks],T09GSCPageDaily[target_country],$B25,T09GSCPageDaily[language],$C25,T09GSCPageDaily[date],"&gt;="&amp;$A25,T09GSCPageDaily[date],"&lt;"&amp;DATE(YEAR($A25),MONTH($A25)+1,1),T09GSCPageDaily[data_state],"final"))</x:f>
      </x:c>
      <x:c r="F25" s="24" t="str">
        <x:f>IF(D25=0,"",SUMIFS(T09GSCPageDaily[impressions],T09GSCPageDaily[target_country],$B25,T09GSCPageDaily[language],$C25,T09GSCPageDaily[date],"&gt;="&amp;$A25,T09GSCPageDaily[date],"&lt;"&amp;DATE(YEAR($A25),MONTH($A25)+1,1),T09GSCPageDaily[data_state],"final"))</x:f>
      </x:c>
      <x:c r="G25" s="28" t="str">
        <x:f>IFERROR(IF(D25=0,"",E25/F25),"")</x:f>
      </x:c>
      <x:c r="H25" s="26" t="str">
        <x:f>IF(D25=0,"",IFERROR(SUMPRODUCT((T09GSCPageDaily[target_country]=$B25)*(T09GSCPageDaily[language]=$C25)*(T09GSCPageDaily[date]&gt;=$A25)*(T09GSCPageDaily[date]&lt;DATE(YEAR($A25),MONTH($A25)+1,1))*(T09GSCPageDaily[data_state]="final")*T09GSCPageDaily[avg_position]*T09GSCPageDaily[impressions])/F25,""))</x:f>
      </x:c>
      <x:c r="I25" s="18" t="n">
        <x:f>COUNTIFS(T11GA4LandingDaily[target_country],$B25,T11GA4LandingDaily[language],$C25,T11GA4LandingDaily[date],"&gt;="&amp;$A25,T11GA4LandingDaily[date],"&lt;"&amp;DATE(YEAR($A25),MONTH($A25)+1,1),T11GA4LandingDaily[session_channel],"Organic Search",T11GA4LandingDaily[data_quality],"Measured")</x:f>
        <x:v>0</x:v>
      </x:c>
      <x:c r="J25" s="18" t="str">
        <x:f>IF(I25=0,"",SUMIFS(T11GA4LandingDaily[sessions],T11GA4LandingDaily[target_country],$B25,T11GA4LandingDaily[language],$C25,T11GA4LandingDaily[date],"&gt;="&amp;$A25,T11GA4LandingDaily[date],"&lt;"&amp;DATE(YEAR($A25),MONTH($A25)+1,1),T11GA4LandingDaily[session_channel],"Organic Search",T11GA4LandingDaily[data_quality],"Measured"))</x:f>
      </x:c>
      <x:c r="K25" s="24" t="str">
        <x:f>IF(I25=0,"",SUMIFS(T11GA4LandingDaily[engaged_sessions],T11GA4LandingDaily[target_country],$B25,T11GA4LandingDaily[language],$C25,T11GA4LandingDaily[date],"&gt;="&amp;$A25,T11GA4LandingDaily[date],"&lt;"&amp;DATE(YEAR($A25),MONTH($A25)+1,1),T11GA4LandingDaily[session_channel],"Organic Search",T11GA4LandingDaily[data_quality],"Measured"))</x:f>
      </x:c>
      <x:c r="L25" s="28" t="str">
        <x:f>IFERROR(IF(I25=0,"",K25/J25),"")</x:f>
      </x:c>
      <x:c r="M25" s="24" t="str">
        <x:f>IF(I25=0,"",SUMIFS(T11GA4LandingDaily[key_events],T11GA4LandingDaily[target_country],$B25,T11GA4LandingDaily[language],$C25,T11GA4LandingDaily[date],"&gt;="&amp;$A25,T11GA4LandingDaily[date],"&lt;"&amp;DATE(YEAR($A25),MONTH($A25)+1,1),T11GA4LandingDaily[session_channel],"Organic Search",T11GA4LandingDaily[data_quality],"Measured"))</x:f>
      </x:c>
      <x:c r="N25" s="24" t="str">
        <x:f>IF(I25=0,"",SUMIFS(T11GA4LandingDaily[booking_starts],T11GA4LandingDaily[target_country],$B25,T11GA4LandingDaily[language],$C25,T11GA4LandingDaily[date],"&gt;="&amp;$A25,T11GA4LandingDaily[date],"&lt;"&amp;DATE(YEAR($A25),MONTH($A25)+1,1),T11GA4LandingDaily[session_channel],"Organic Search",T11GA4LandingDaily[data_quality],"Measured"))</x:f>
      </x:c>
      <x:c r="O25" s="24" t="str">
        <x:f>IF(I25=0,"",SUMIFS(T11GA4LandingDaily[purchases],T11GA4LandingDaily[target_country],$B25,T11GA4LandingDaily[language],$C25,T11GA4LandingDaily[date],"&gt;="&amp;$A25,T11GA4LandingDaily[date],"&lt;"&amp;DATE(YEAR($A25),MONTH($A25)+1,1),T11GA4LandingDaily[session_channel],"Organic Search",T11GA4LandingDaily[data_quality],"Measured"))</x:f>
      </x:c>
      <x:c r="P25" s="18" t="str">
        <x:f>IF(OR(I25=0,'25_Config'!$B$11=""),"",IF(COUNTIFS(T11GA4LandingDaily[target_country],$B25,T11GA4LandingDaily[language],$C25,T11GA4LandingDaily[date],"&gt;="&amp;$A25,T11GA4LandingDaily[date],"&lt;"&amp;DATE(YEAR($A25),MONTH($A25)+1,1),T11GA4LandingDaily[session_channel],"Organic Search",T11GA4LandingDaily[data_quality],"Measured",T11GA4LandingDaily[currency],"&lt;&gt;"&amp;'25_Config'!$B$11)&gt;0,"",SUMIFS(T11GA4LandingDaily[purchase_revenue],T11GA4LandingDaily[target_country],$B25,T11GA4LandingDaily[language],$C25,T11GA4LandingDaily[date],"&gt;="&amp;$A25,T11GA4LandingDaily[date],"&lt;"&amp;DATE(YEAR($A25),MONTH($A25)+1,1),T11GA4LandingDaily[session_channel],"Organic Search",T11GA4LandingDaily[data_quality],"Measured")))</x:f>
      </x:c>
      <x:c r="Q25" s="18" t="str">
        <x:f>IF(P25="","",'25_Config'!$B$11)</x:f>
      </x:c>
      <x:c r="R25" s="28"/>
      <x:c r="S25" s="18" t="str">
        <x:f>IF(AND(D25=0,I25=0),"Not refreshed","Check completeness, gaps and sample size")</x:f>
        <x:v>Not refreshed</x:v>
      </x:c>
    </x:row>
    <x:row r="26" ht="30" customHeight="1">
      <x:c r="A26" s="22" t="n">
        <x:v>46204</x:v>
      </x:c>
      <x:c r="B26" s="18" t="str">
        <x:v>Spain</x:v>
      </x:c>
      <x:c r="C26" s="18" t="str">
        <x:v>pt</x:v>
      </x:c>
      <x:c r="D26" s="18" t="n">
        <x:f>COUNTIFS(T09GSCPageDaily[target_country],$B26,T09GSCPageDaily[language],$C26,T09GSCPageDaily[date],"&gt;="&amp;$A26,T09GSCPageDaily[date],"&lt;"&amp;DATE(YEAR($A26),MONTH($A26)+1,1),T09GSCPageDaily[data_state],"final")</x:f>
        <x:v>0</x:v>
      </x:c>
      <x:c r="E26" s="24" t="str">
        <x:f>IF(D26=0,"",SUMIFS(T09GSCPageDaily[clicks],T09GSCPageDaily[target_country],$B26,T09GSCPageDaily[language],$C26,T09GSCPageDaily[date],"&gt;="&amp;$A26,T09GSCPageDaily[date],"&lt;"&amp;DATE(YEAR($A26),MONTH($A26)+1,1),T09GSCPageDaily[data_state],"final"))</x:f>
      </x:c>
      <x:c r="F26" s="24" t="str">
        <x:f>IF(D26=0,"",SUMIFS(T09GSCPageDaily[impressions],T09GSCPageDaily[target_country],$B26,T09GSCPageDaily[language],$C26,T09GSCPageDaily[date],"&gt;="&amp;$A26,T09GSCPageDaily[date],"&lt;"&amp;DATE(YEAR($A26),MONTH($A26)+1,1),T09GSCPageDaily[data_state],"final"))</x:f>
      </x:c>
      <x:c r="G26" s="28" t="str">
        <x:f>IFERROR(IF(D26=0,"",E26/F26),"")</x:f>
      </x:c>
      <x:c r="H26" s="26" t="str">
        <x:f>IF(D26=0,"",IFERROR(SUMPRODUCT((T09GSCPageDaily[target_country]=$B26)*(T09GSCPageDaily[language]=$C26)*(T09GSCPageDaily[date]&gt;=$A26)*(T09GSCPageDaily[date]&lt;DATE(YEAR($A26),MONTH($A26)+1,1))*(T09GSCPageDaily[data_state]="final")*T09GSCPageDaily[avg_position]*T09GSCPageDaily[impressions])/F26,""))</x:f>
      </x:c>
      <x:c r="I26" s="18" t="n">
        <x:f>COUNTIFS(T11GA4LandingDaily[target_country],$B26,T11GA4LandingDaily[language],$C26,T11GA4LandingDaily[date],"&gt;="&amp;$A26,T11GA4LandingDaily[date],"&lt;"&amp;DATE(YEAR($A26),MONTH($A26)+1,1),T11GA4LandingDaily[session_channel],"Organic Search",T11GA4LandingDaily[data_quality],"Measured")</x:f>
        <x:v>0</x:v>
      </x:c>
      <x:c r="J26" s="18" t="str">
        <x:f>IF(I26=0,"",SUMIFS(T11GA4LandingDaily[sessions],T11GA4LandingDaily[target_country],$B26,T11GA4LandingDaily[language],$C26,T11GA4LandingDaily[date],"&gt;="&amp;$A26,T11GA4LandingDaily[date],"&lt;"&amp;DATE(YEAR($A26),MONTH($A26)+1,1),T11GA4LandingDaily[session_channel],"Organic Search",T11GA4LandingDaily[data_quality],"Measured"))</x:f>
      </x:c>
      <x:c r="K26" s="24" t="str">
        <x:f>IF(I26=0,"",SUMIFS(T11GA4LandingDaily[engaged_sessions],T11GA4LandingDaily[target_country],$B26,T11GA4LandingDaily[language],$C26,T11GA4LandingDaily[date],"&gt;="&amp;$A26,T11GA4LandingDaily[date],"&lt;"&amp;DATE(YEAR($A26),MONTH($A26)+1,1),T11GA4LandingDaily[session_channel],"Organic Search",T11GA4LandingDaily[data_quality],"Measured"))</x:f>
      </x:c>
      <x:c r="L26" s="28" t="str">
        <x:f>IFERROR(IF(I26=0,"",K26/J26),"")</x:f>
      </x:c>
      <x:c r="M26" s="24" t="str">
        <x:f>IF(I26=0,"",SUMIFS(T11GA4LandingDaily[key_events],T11GA4LandingDaily[target_country],$B26,T11GA4LandingDaily[language],$C26,T11GA4LandingDaily[date],"&gt;="&amp;$A26,T11GA4LandingDaily[date],"&lt;"&amp;DATE(YEAR($A26),MONTH($A26)+1,1),T11GA4LandingDaily[session_channel],"Organic Search",T11GA4LandingDaily[data_quality],"Measured"))</x:f>
      </x:c>
      <x:c r="N26" s="24" t="str">
        <x:f>IF(I26=0,"",SUMIFS(T11GA4LandingDaily[booking_starts],T11GA4LandingDaily[target_country],$B26,T11GA4LandingDaily[language],$C26,T11GA4LandingDaily[date],"&gt;="&amp;$A26,T11GA4LandingDaily[date],"&lt;"&amp;DATE(YEAR($A26),MONTH($A26)+1,1),T11GA4LandingDaily[session_channel],"Organic Search",T11GA4LandingDaily[data_quality],"Measured"))</x:f>
      </x:c>
      <x:c r="O26" s="24" t="str">
        <x:f>IF(I26=0,"",SUMIFS(T11GA4LandingDaily[purchases],T11GA4LandingDaily[target_country],$B26,T11GA4LandingDaily[language],$C26,T11GA4LandingDaily[date],"&gt;="&amp;$A26,T11GA4LandingDaily[date],"&lt;"&amp;DATE(YEAR($A26),MONTH($A26)+1,1),T11GA4LandingDaily[session_channel],"Organic Search",T11GA4LandingDaily[data_quality],"Measured"))</x:f>
      </x:c>
      <x:c r="P26" s="18" t="str">
        <x:f>IF(OR(I26=0,'25_Config'!$B$11=""),"",IF(COUNTIFS(T11GA4LandingDaily[target_country],$B26,T11GA4LandingDaily[language],$C26,T11GA4LandingDaily[date],"&gt;="&amp;$A26,T11GA4LandingDaily[date],"&lt;"&amp;DATE(YEAR($A26),MONTH($A26)+1,1),T11GA4LandingDaily[session_channel],"Organic Search",T11GA4LandingDaily[data_quality],"Measured",T11GA4LandingDaily[currency],"&lt;&gt;"&amp;'25_Config'!$B$11)&gt;0,"",SUMIFS(T11GA4LandingDaily[purchase_revenue],T11GA4LandingDaily[target_country],$B26,T11GA4LandingDaily[language],$C26,T11GA4LandingDaily[date],"&gt;="&amp;$A26,T11GA4LandingDaily[date],"&lt;"&amp;DATE(YEAR($A26),MONTH($A26)+1,1),T11GA4LandingDaily[session_channel],"Organic Search",T11GA4LandingDaily[data_quality],"Measured")))</x:f>
      </x:c>
      <x:c r="Q26" s="18" t="str">
        <x:f>IF(P26="","",'25_Config'!$B$11)</x:f>
      </x:c>
      <x:c r="R26" s="28"/>
      <x:c r="S26" s="18" t="str">
        <x:f>IF(AND(D26=0,I26=0),"Not refreshed","Check completeness, gaps and sample size")</x:f>
        <x:v>Not refreshed</x:v>
      </x:c>
    </x:row>
    <x:row r="27" ht="30" customHeight="1">
      <x:c r="A27" s="22" t="n">
        <x:v>46204</x:v>
      </x:c>
      <x:c r="B27" s="18" t="str">
        <x:v>Spain</x:v>
      </x:c>
      <x:c r="C27" s="18" t="str">
        <x:v>cs</x:v>
      </x:c>
      <x:c r="D27" s="18" t="n">
        <x:f>COUNTIFS(T09GSCPageDaily[target_country],$B27,T09GSCPageDaily[language],$C27,T09GSCPageDaily[date],"&gt;="&amp;$A27,T09GSCPageDaily[date],"&lt;"&amp;DATE(YEAR($A27),MONTH($A27)+1,1),T09GSCPageDaily[data_state],"final")</x:f>
        <x:v>0</x:v>
      </x:c>
      <x:c r="E27" s="24" t="str">
        <x:f>IF(D27=0,"",SUMIFS(T09GSCPageDaily[clicks],T09GSCPageDaily[target_country],$B27,T09GSCPageDaily[language],$C27,T09GSCPageDaily[date],"&gt;="&amp;$A27,T09GSCPageDaily[date],"&lt;"&amp;DATE(YEAR($A27),MONTH($A27)+1,1),T09GSCPageDaily[data_state],"final"))</x:f>
      </x:c>
      <x:c r="F27" s="24" t="str">
        <x:f>IF(D27=0,"",SUMIFS(T09GSCPageDaily[impressions],T09GSCPageDaily[target_country],$B27,T09GSCPageDaily[language],$C27,T09GSCPageDaily[date],"&gt;="&amp;$A27,T09GSCPageDaily[date],"&lt;"&amp;DATE(YEAR($A27),MONTH($A27)+1,1),T09GSCPageDaily[data_state],"final"))</x:f>
      </x:c>
      <x:c r="G27" s="28" t="str">
        <x:f>IFERROR(IF(D27=0,"",E27/F27),"")</x:f>
      </x:c>
      <x:c r="H27" s="26" t="str">
        <x:f>IF(D27=0,"",IFERROR(SUMPRODUCT((T09GSCPageDaily[target_country]=$B27)*(T09GSCPageDaily[language]=$C27)*(T09GSCPageDaily[date]&gt;=$A27)*(T09GSCPageDaily[date]&lt;DATE(YEAR($A27),MONTH($A27)+1,1))*(T09GSCPageDaily[data_state]="final")*T09GSCPageDaily[avg_position]*T09GSCPageDaily[impressions])/F27,""))</x:f>
      </x:c>
      <x:c r="I27" s="18" t="n">
        <x:f>COUNTIFS(T11GA4LandingDaily[target_country],$B27,T11GA4LandingDaily[language],$C27,T11GA4LandingDaily[date],"&gt;="&amp;$A27,T11GA4LandingDaily[date],"&lt;"&amp;DATE(YEAR($A27),MONTH($A27)+1,1),T11GA4LandingDaily[session_channel],"Organic Search",T11GA4LandingDaily[data_quality],"Measured")</x:f>
        <x:v>0</x:v>
      </x:c>
      <x:c r="J27" s="18" t="str">
        <x:f>IF(I27=0,"",SUMIFS(T11GA4LandingDaily[sessions],T11GA4LandingDaily[target_country],$B27,T11GA4LandingDaily[language],$C27,T11GA4LandingDaily[date],"&gt;="&amp;$A27,T11GA4LandingDaily[date],"&lt;"&amp;DATE(YEAR($A27),MONTH($A27)+1,1),T11GA4LandingDaily[session_channel],"Organic Search",T11GA4LandingDaily[data_quality],"Measured"))</x:f>
      </x:c>
      <x:c r="K27" s="24" t="str">
        <x:f>IF(I27=0,"",SUMIFS(T11GA4LandingDaily[engaged_sessions],T11GA4LandingDaily[target_country],$B27,T11GA4LandingDaily[language],$C27,T11GA4LandingDaily[date],"&gt;="&amp;$A27,T11GA4LandingDaily[date],"&lt;"&amp;DATE(YEAR($A27),MONTH($A27)+1,1),T11GA4LandingDaily[session_channel],"Organic Search",T11GA4LandingDaily[data_quality],"Measured"))</x:f>
      </x:c>
      <x:c r="L27" s="28" t="str">
        <x:f>IFERROR(IF(I27=0,"",K27/J27),"")</x:f>
      </x:c>
      <x:c r="M27" s="24" t="str">
        <x:f>IF(I27=0,"",SUMIFS(T11GA4LandingDaily[key_events],T11GA4LandingDaily[target_country],$B27,T11GA4LandingDaily[language],$C27,T11GA4LandingDaily[date],"&gt;="&amp;$A27,T11GA4LandingDaily[date],"&lt;"&amp;DATE(YEAR($A27),MONTH($A27)+1,1),T11GA4LandingDaily[session_channel],"Organic Search",T11GA4LandingDaily[data_quality],"Measured"))</x:f>
      </x:c>
      <x:c r="N27" s="24" t="str">
        <x:f>IF(I27=0,"",SUMIFS(T11GA4LandingDaily[booking_starts],T11GA4LandingDaily[target_country],$B27,T11GA4LandingDaily[language],$C27,T11GA4LandingDaily[date],"&gt;="&amp;$A27,T11GA4LandingDaily[date],"&lt;"&amp;DATE(YEAR($A27),MONTH($A27)+1,1),T11GA4LandingDaily[session_channel],"Organic Search",T11GA4LandingDaily[data_quality],"Measured"))</x:f>
      </x:c>
      <x:c r="O27" s="24" t="str">
        <x:f>IF(I27=0,"",SUMIFS(T11GA4LandingDaily[purchases],T11GA4LandingDaily[target_country],$B27,T11GA4LandingDaily[language],$C27,T11GA4LandingDaily[date],"&gt;="&amp;$A27,T11GA4LandingDaily[date],"&lt;"&amp;DATE(YEAR($A27),MONTH($A27)+1,1),T11GA4LandingDaily[session_channel],"Organic Search",T11GA4LandingDaily[data_quality],"Measured"))</x:f>
      </x:c>
      <x:c r="P27" s="18" t="str">
        <x:f>IF(OR(I27=0,'25_Config'!$B$11=""),"",IF(COUNTIFS(T11GA4LandingDaily[target_country],$B27,T11GA4LandingDaily[language],$C27,T11GA4LandingDaily[date],"&gt;="&amp;$A27,T11GA4LandingDaily[date],"&lt;"&amp;DATE(YEAR($A27),MONTH($A27)+1,1),T11GA4LandingDaily[session_channel],"Organic Search",T11GA4LandingDaily[data_quality],"Measured",T11GA4LandingDaily[currency],"&lt;&gt;"&amp;'25_Config'!$B$11)&gt;0,"",SUMIFS(T11GA4LandingDaily[purchase_revenue],T11GA4LandingDaily[target_country],$B27,T11GA4LandingDaily[language],$C27,T11GA4LandingDaily[date],"&gt;="&amp;$A27,T11GA4LandingDaily[date],"&lt;"&amp;DATE(YEAR($A27),MONTH($A27)+1,1),T11GA4LandingDaily[session_channel],"Organic Search",T11GA4LandingDaily[data_quality],"Measured")))</x:f>
      </x:c>
      <x:c r="Q27" s="18" t="str">
        <x:f>IF(P27="","",'25_Config'!$B$11)</x:f>
      </x:c>
      <x:c r="R27" s="28"/>
      <x:c r="S27" s="18" t="str">
        <x:f>IF(AND(D27=0,I27=0),"Not refreshed","Check completeness, gaps and sample size")</x:f>
        <x:v>Not refreshed</x:v>
      </x:c>
    </x:row>
    <x:row r="28" ht="30" customHeight="1">
      <x:c r="A28" s="22" t="n">
        <x:v>46204</x:v>
      </x:c>
      <x:c r="B28" s="18" t="str">
        <x:v>Spain</x:v>
      </x:c>
      <x:c r="C28" s="18" t="str">
        <x:v>ro</x:v>
      </x:c>
      <x:c r="D28" s="18" t="n">
        <x:f>COUNTIFS(T09GSCPageDaily[target_country],$B28,T09GSCPageDaily[language],$C28,T09GSCPageDaily[date],"&gt;="&amp;$A28,T09GSCPageDaily[date],"&lt;"&amp;DATE(YEAR($A28),MONTH($A28)+1,1),T09GSCPageDaily[data_state],"final")</x:f>
        <x:v>0</x:v>
      </x:c>
      <x:c r="E28" s="24" t="str">
        <x:f>IF(D28=0,"",SUMIFS(T09GSCPageDaily[clicks],T09GSCPageDaily[target_country],$B28,T09GSCPageDaily[language],$C28,T09GSCPageDaily[date],"&gt;="&amp;$A28,T09GSCPageDaily[date],"&lt;"&amp;DATE(YEAR($A28),MONTH($A28)+1,1),T09GSCPageDaily[data_state],"final"))</x:f>
      </x:c>
      <x:c r="F28" s="24" t="str">
        <x:f>IF(D28=0,"",SUMIFS(T09GSCPageDaily[impressions],T09GSCPageDaily[target_country],$B28,T09GSCPageDaily[language],$C28,T09GSCPageDaily[date],"&gt;="&amp;$A28,T09GSCPageDaily[date],"&lt;"&amp;DATE(YEAR($A28),MONTH($A28)+1,1),T09GSCPageDaily[data_state],"final"))</x:f>
      </x:c>
      <x:c r="G28" s="28" t="str">
        <x:f>IFERROR(IF(D28=0,"",E28/F28),"")</x:f>
      </x:c>
      <x:c r="H28" s="26" t="str">
        <x:f>IF(D28=0,"",IFERROR(SUMPRODUCT((T09GSCPageDaily[target_country]=$B28)*(T09GSCPageDaily[language]=$C28)*(T09GSCPageDaily[date]&gt;=$A28)*(T09GSCPageDaily[date]&lt;DATE(YEAR($A28),MONTH($A28)+1,1))*(T09GSCPageDaily[data_state]="final")*T09GSCPageDaily[avg_position]*T09GSCPageDaily[impressions])/F28,""))</x:f>
      </x:c>
      <x:c r="I28" s="18" t="n">
        <x:f>COUNTIFS(T11GA4LandingDaily[target_country],$B28,T11GA4LandingDaily[language],$C28,T11GA4LandingDaily[date],"&gt;="&amp;$A28,T11GA4LandingDaily[date],"&lt;"&amp;DATE(YEAR($A28),MONTH($A28)+1,1),T11GA4LandingDaily[session_channel],"Organic Search",T11GA4LandingDaily[data_quality],"Measured")</x:f>
        <x:v>0</x:v>
      </x:c>
      <x:c r="J28" s="18" t="str">
        <x:f>IF(I28=0,"",SUMIFS(T11GA4LandingDaily[sessions],T11GA4LandingDaily[target_country],$B28,T11GA4LandingDaily[language],$C28,T11GA4LandingDaily[date],"&gt;="&amp;$A28,T11GA4LandingDaily[date],"&lt;"&amp;DATE(YEAR($A28),MONTH($A28)+1,1),T11GA4LandingDaily[session_channel],"Organic Search",T11GA4LandingDaily[data_quality],"Measured"))</x:f>
      </x:c>
      <x:c r="K28" s="24" t="str">
        <x:f>IF(I28=0,"",SUMIFS(T11GA4LandingDaily[engaged_sessions],T11GA4LandingDaily[target_country],$B28,T11GA4LandingDaily[language],$C28,T11GA4LandingDaily[date],"&gt;="&amp;$A28,T11GA4LandingDaily[date],"&lt;"&amp;DATE(YEAR($A28),MONTH($A28)+1,1),T11GA4LandingDaily[session_channel],"Organic Search",T11GA4LandingDaily[data_quality],"Measured"))</x:f>
      </x:c>
      <x:c r="L28" s="28" t="str">
        <x:f>IFERROR(IF(I28=0,"",K28/J28),"")</x:f>
      </x:c>
      <x:c r="M28" s="24" t="str">
        <x:f>IF(I28=0,"",SUMIFS(T11GA4LandingDaily[key_events],T11GA4LandingDaily[target_country],$B28,T11GA4LandingDaily[language],$C28,T11GA4LandingDaily[date],"&gt;="&amp;$A28,T11GA4LandingDaily[date],"&lt;"&amp;DATE(YEAR($A28),MONTH($A28)+1,1),T11GA4LandingDaily[session_channel],"Organic Search",T11GA4LandingDaily[data_quality],"Measured"))</x:f>
      </x:c>
      <x:c r="N28" s="24" t="str">
        <x:f>IF(I28=0,"",SUMIFS(T11GA4LandingDaily[booking_starts],T11GA4LandingDaily[target_country],$B28,T11GA4LandingDaily[language],$C28,T11GA4LandingDaily[date],"&gt;="&amp;$A28,T11GA4LandingDaily[date],"&lt;"&amp;DATE(YEAR($A28),MONTH($A28)+1,1),T11GA4LandingDaily[session_channel],"Organic Search",T11GA4LandingDaily[data_quality],"Measured"))</x:f>
      </x:c>
      <x:c r="O28" s="24" t="str">
        <x:f>IF(I28=0,"",SUMIFS(T11GA4LandingDaily[purchases],T11GA4LandingDaily[target_country],$B28,T11GA4LandingDaily[language],$C28,T11GA4LandingDaily[date],"&gt;="&amp;$A28,T11GA4LandingDaily[date],"&lt;"&amp;DATE(YEAR($A28),MONTH($A28)+1,1),T11GA4LandingDaily[session_channel],"Organic Search",T11GA4LandingDaily[data_quality],"Measured"))</x:f>
      </x:c>
      <x:c r="P28" s="18" t="str">
        <x:f>IF(OR(I28=0,'25_Config'!$B$11=""),"",IF(COUNTIFS(T11GA4LandingDaily[target_country],$B28,T11GA4LandingDaily[language],$C28,T11GA4LandingDaily[date],"&gt;="&amp;$A28,T11GA4LandingDaily[date],"&lt;"&amp;DATE(YEAR($A28),MONTH($A28)+1,1),T11GA4LandingDaily[session_channel],"Organic Search",T11GA4LandingDaily[data_quality],"Measured",T11GA4LandingDaily[currency],"&lt;&gt;"&amp;'25_Config'!$B$11)&gt;0,"",SUMIFS(T11GA4LandingDaily[purchase_revenue],T11GA4LandingDaily[target_country],$B28,T11GA4LandingDaily[language],$C28,T11GA4LandingDaily[date],"&gt;="&amp;$A28,T11GA4LandingDaily[date],"&lt;"&amp;DATE(YEAR($A28),MONTH($A28)+1,1),T11GA4LandingDaily[session_channel],"Organic Search",T11GA4LandingDaily[data_quality],"Measured")))</x:f>
      </x:c>
      <x:c r="Q28" s="18" t="str">
        <x:f>IF(P28="","",'25_Config'!$B$11)</x:f>
      </x:c>
      <x:c r="R28" s="28"/>
      <x:c r="S28" s="18" t="str">
        <x:f>IF(AND(D28=0,I28=0),"Not refreshed","Check completeness, gaps and sample size")</x:f>
        <x:v>Not refreshed</x:v>
      </x:c>
    </x:row>
    <x:row r="29" ht="30" customHeight="1">
      <x:c r="A29" s="22" t="n">
        <x:v>46204</x:v>
      </x:c>
      <x:c r="B29" s="18" t="str">
        <x:v>Spain</x:v>
      </x:c>
      <x:c r="C29" s="18" t="str">
        <x:v>de</x:v>
      </x:c>
      <x:c r="D29" s="18" t="n">
        <x:f>COUNTIFS(T09GSCPageDaily[target_country],$B29,T09GSCPageDaily[language],$C29,T09GSCPageDaily[date],"&gt;="&amp;$A29,T09GSCPageDaily[date],"&lt;"&amp;DATE(YEAR($A29),MONTH($A29)+1,1),T09GSCPageDaily[data_state],"final")</x:f>
        <x:v>0</x:v>
      </x:c>
      <x:c r="E29" s="24" t="str">
        <x:f>IF(D29=0,"",SUMIFS(T09GSCPageDaily[clicks],T09GSCPageDaily[target_country],$B29,T09GSCPageDaily[language],$C29,T09GSCPageDaily[date],"&gt;="&amp;$A29,T09GSCPageDaily[date],"&lt;"&amp;DATE(YEAR($A29),MONTH($A29)+1,1),T09GSCPageDaily[data_state],"final"))</x:f>
      </x:c>
      <x:c r="F29" s="24" t="str">
        <x:f>IF(D29=0,"",SUMIFS(T09GSCPageDaily[impressions],T09GSCPageDaily[target_country],$B29,T09GSCPageDaily[language],$C29,T09GSCPageDaily[date],"&gt;="&amp;$A29,T09GSCPageDaily[date],"&lt;"&amp;DATE(YEAR($A29),MONTH($A29)+1,1),T09GSCPageDaily[data_state],"final"))</x:f>
      </x:c>
      <x:c r="G29" s="28" t="str">
        <x:f>IFERROR(IF(D29=0,"",E29/F29),"")</x:f>
      </x:c>
      <x:c r="H29" s="26" t="str">
        <x:f>IF(D29=0,"",IFERROR(SUMPRODUCT((T09GSCPageDaily[target_country]=$B29)*(T09GSCPageDaily[language]=$C29)*(T09GSCPageDaily[date]&gt;=$A29)*(T09GSCPageDaily[date]&lt;DATE(YEAR($A29),MONTH($A29)+1,1))*(T09GSCPageDaily[data_state]="final")*T09GSCPageDaily[avg_position]*T09GSCPageDaily[impressions])/F29,""))</x:f>
      </x:c>
      <x:c r="I29" s="18" t="n">
        <x:f>COUNTIFS(T11GA4LandingDaily[target_country],$B29,T11GA4LandingDaily[language],$C29,T11GA4LandingDaily[date],"&gt;="&amp;$A29,T11GA4LandingDaily[date],"&lt;"&amp;DATE(YEAR($A29),MONTH($A29)+1,1),T11GA4LandingDaily[session_channel],"Organic Search",T11GA4LandingDaily[data_quality],"Measured")</x:f>
        <x:v>0</x:v>
      </x:c>
      <x:c r="J29" s="18" t="str">
        <x:f>IF(I29=0,"",SUMIFS(T11GA4LandingDaily[sessions],T11GA4LandingDaily[target_country],$B29,T11GA4LandingDaily[language],$C29,T11GA4LandingDaily[date],"&gt;="&amp;$A29,T11GA4LandingDaily[date],"&lt;"&amp;DATE(YEAR($A29),MONTH($A29)+1,1),T11GA4LandingDaily[session_channel],"Organic Search",T11GA4LandingDaily[data_quality],"Measured"))</x:f>
      </x:c>
      <x:c r="K29" s="24" t="str">
        <x:f>IF(I29=0,"",SUMIFS(T11GA4LandingDaily[engaged_sessions],T11GA4LandingDaily[target_country],$B29,T11GA4LandingDaily[language],$C29,T11GA4LandingDaily[date],"&gt;="&amp;$A29,T11GA4LandingDaily[date],"&lt;"&amp;DATE(YEAR($A29),MONTH($A29)+1,1),T11GA4LandingDaily[session_channel],"Organic Search",T11GA4LandingDaily[data_quality],"Measured"))</x:f>
      </x:c>
      <x:c r="L29" s="28" t="str">
        <x:f>IFERROR(IF(I29=0,"",K29/J29),"")</x:f>
      </x:c>
      <x:c r="M29" s="24" t="str">
        <x:f>IF(I29=0,"",SUMIFS(T11GA4LandingDaily[key_events],T11GA4LandingDaily[target_country],$B29,T11GA4LandingDaily[language],$C29,T11GA4LandingDaily[date],"&gt;="&amp;$A29,T11GA4LandingDaily[date],"&lt;"&amp;DATE(YEAR($A29),MONTH($A29)+1,1),T11GA4LandingDaily[session_channel],"Organic Search",T11GA4LandingDaily[data_quality],"Measured"))</x:f>
      </x:c>
      <x:c r="N29" s="24" t="str">
        <x:f>IF(I29=0,"",SUMIFS(T11GA4LandingDaily[booking_starts],T11GA4LandingDaily[target_country],$B29,T11GA4LandingDaily[language],$C29,T11GA4LandingDaily[date],"&gt;="&amp;$A29,T11GA4LandingDaily[date],"&lt;"&amp;DATE(YEAR($A29),MONTH($A29)+1,1),T11GA4LandingDaily[session_channel],"Organic Search",T11GA4LandingDaily[data_quality],"Measured"))</x:f>
      </x:c>
      <x:c r="O29" s="24" t="str">
        <x:f>IF(I29=0,"",SUMIFS(T11GA4LandingDaily[purchases],T11GA4LandingDaily[target_country],$B29,T11GA4LandingDaily[language],$C29,T11GA4LandingDaily[date],"&gt;="&amp;$A29,T11GA4LandingDaily[date],"&lt;"&amp;DATE(YEAR($A29),MONTH($A29)+1,1),T11GA4LandingDaily[session_channel],"Organic Search",T11GA4LandingDaily[data_quality],"Measured"))</x:f>
      </x:c>
      <x:c r="P29" s="18" t="str">
        <x:f>IF(OR(I29=0,'25_Config'!$B$11=""),"",IF(COUNTIFS(T11GA4LandingDaily[target_country],$B29,T11GA4LandingDaily[language],$C29,T11GA4LandingDaily[date],"&gt;="&amp;$A29,T11GA4LandingDaily[date],"&lt;"&amp;DATE(YEAR($A29),MONTH($A29)+1,1),T11GA4LandingDaily[session_channel],"Organic Search",T11GA4LandingDaily[data_quality],"Measured",T11GA4LandingDaily[currency],"&lt;&gt;"&amp;'25_Config'!$B$11)&gt;0,"",SUMIFS(T11GA4LandingDaily[purchase_revenue],T11GA4LandingDaily[target_country],$B29,T11GA4LandingDaily[language],$C29,T11GA4LandingDaily[date],"&gt;="&amp;$A29,T11GA4LandingDaily[date],"&lt;"&amp;DATE(YEAR($A29),MONTH($A29)+1,1),T11GA4LandingDaily[session_channel],"Organic Search",T11GA4LandingDaily[data_quality],"Measured")))</x:f>
      </x:c>
      <x:c r="Q29" s="18" t="str">
        <x:f>IF(P29="","",'25_Config'!$B$11)</x:f>
      </x:c>
      <x:c r="R29" s="28"/>
      <x:c r="S29" s="18" t="str">
        <x:f>IF(AND(D29=0,I29=0),"Not refreshed","Check completeness, gaps and sample size")</x:f>
        <x:v>Not refreshed</x:v>
      </x:c>
    </x:row>
    <x:row r="30" ht="30" customHeight="1">
      <x:c r="A30" s="22" t="n">
        <x:v>46204</x:v>
      </x:c>
      <x:c r="B30" s="18" t="str">
        <x:v>Romania</x:v>
      </x:c>
      <x:c r="C30" s="18" t="str">
        <x:v>ro</x:v>
      </x:c>
      <x:c r="D30" s="18" t="n">
        <x:f>COUNTIFS(T09GSCPageDaily[target_country],$B30,T09GSCPageDaily[language],$C30,T09GSCPageDaily[date],"&gt;="&amp;$A30,T09GSCPageDaily[date],"&lt;"&amp;DATE(YEAR($A30),MONTH($A30)+1,1),T09GSCPageDaily[data_state],"final")</x:f>
        <x:v>0</x:v>
      </x:c>
      <x:c r="E30" s="24" t="str">
        <x:f>IF(D30=0,"",SUMIFS(T09GSCPageDaily[clicks],T09GSCPageDaily[target_country],$B30,T09GSCPageDaily[language],$C30,T09GSCPageDaily[date],"&gt;="&amp;$A30,T09GSCPageDaily[date],"&lt;"&amp;DATE(YEAR($A30),MONTH($A30)+1,1),T09GSCPageDaily[data_state],"final"))</x:f>
      </x:c>
      <x:c r="F30" s="24" t="str">
        <x:f>IF(D30=0,"",SUMIFS(T09GSCPageDaily[impressions],T09GSCPageDaily[target_country],$B30,T09GSCPageDaily[language],$C30,T09GSCPageDaily[date],"&gt;="&amp;$A30,T09GSCPageDaily[date],"&lt;"&amp;DATE(YEAR($A30),MONTH($A30)+1,1),T09GSCPageDaily[data_state],"final"))</x:f>
      </x:c>
      <x:c r="G30" s="28" t="str">
        <x:f>IFERROR(IF(D30=0,"",E30/F30),"")</x:f>
      </x:c>
      <x:c r="H30" s="26" t="str">
        <x:f>IF(D30=0,"",IFERROR(SUMPRODUCT((T09GSCPageDaily[target_country]=$B30)*(T09GSCPageDaily[language]=$C30)*(T09GSCPageDaily[date]&gt;=$A30)*(T09GSCPageDaily[date]&lt;DATE(YEAR($A30),MONTH($A30)+1,1))*(T09GSCPageDaily[data_state]="final")*T09GSCPageDaily[avg_position]*T09GSCPageDaily[impressions])/F30,""))</x:f>
      </x:c>
      <x:c r="I30" s="18" t="n">
        <x:f>COUNTIFS(T11GA4LandingDaily[target_country],$B30,T11GA4LandingDaily[language],$C30,T11GA4LandingDaily[date],"&gt;="&amp;$A30,T11GA4LandingDaily[date],"&lt;"&amp;DATE(YEAR($A30),MONTH($A30)+1,1),T11GA4LandingDaily[session_channel],"Organic Search",T11GA4LandingDaily[data_quality],"Measured")</x:f>
        <x:v>0</x:v>
      </x:c>
      <x:c r="J30" s="18" t="str">
        <x:f>IF(I30=0,"",SUMIFS(T11GA4LandingDaily[sessions],T11GA4LandingDaily[target_country],$B30,T11GA4LandingDaily[language],$C30,T11GA4LandingDaily[date],"&gt;="&amp;$A30,T11GA4LandingDaily[date],"&lt;"&amp;DATE(YEAR($A30),MONTH($A30)+1,1),T11GA4LandingDaily[session_channel],"Organic Search",T11GA4LandingDaily[data_quality],"Measured"))</x:f>
      </x:c>
      <x:c r="K30" s="24" t="str">
        <x:f>IF(I30=0,"",SUMIFS(T11GA4LandingDaily[engaged_sessions],T11GA4LandingDaily[target_country],$B30,T11GA4LandingDaily[language],$C30,T11GA4LandingDaily[date],"&gt;="&amp;$A30,T11GA4LandingDaily[date],"&lt;"&amp;DATE(YEAR($A30),MONTH($A30)+1,1),T11GA4LandingDaily[session_channel],"Organic Search",T11GA4LandingDaily[data_quality],"Measured"))</x:f>
      </x:c>
      <x:c r="L30" s="28" t="str">
        <x:f>IFERROR(IF(I30=0,"",K30/J30),"")</x:f>
      </x:c>
      <x:c r="M30" s="24" t="str">
        <x:f>IF(I30=0,"",SUMIFS(T11GA4LandingDaily[key_events],T11GA4LandingDaily[target_country],$B30,T11GA4LandingDaily[language],$C30,T11GA4LandingDaily[date],"&gt;="&amp;$A30,T11GA4LandingDaily[date],"&lt;"&amp;DATE(YEAR($A30),MONTH($A30)+1,1),T11GA4LandingDaily[session_channel],"Organic Search",T11GA4LandingDaily[data_quality],"Measured"))</x:f>
      </x:c>
      <x:c r="N30" s="24" t="str">
        <x:f>IF(I30=0,"",SUMIFS(T11GA4LandingDaily[booking_starts],T11GA4LandingDaily[target_country],$B30,T11GA4LandingDaily[language],$C30,T11GA4LandingDaily[date],"&gt;="&amp;$A30,T11GA4LandingDaily[date],"&lt;"&amp;DATE(YEAR($A30),MONTH($A30)+1,1),T11GA4LandingDaily[session_channel],"Organic Search",T11GA4LandingDaily[data_quality],"Measured"))</x:f>
      </x:c>
      <x:c r="O30" s="24" t="str">
        <x:f>IF(I30=0,"",SUMIFS(T11GA4LandingDaily[purchases],T11GA4LandingDaily[target_country],$B30,T11GA4LandingDaily[language],$C30,T11GA4LandingDaily[date],"&gt;="&amp;$A30,T11GA4LandingDaily[date],"&lt;"&amp;DATE(YEAR($A30),MONTH($A30)+1,1),T11GA4LandingDaily[session_channel],"Organic Search",T11GA4LandingDaily[data_quality],"Measured"))</x:f>
      </x:c>
      <x:c r="P30" s="18" t="str">
        <x:f>IF(OR(I30=0,'25_Config'!$B$11=""),"",IF(COUNTIFS(T11GA4LandingDaily[target_country],$B30,T11GA4LandingDaily[language],$C30,T11GA4LandingDaily[date],"&gt;="&amp;$A30,T11GA4LandingDaily[date],"&lt;"&amp;DATE(YEAR($A30),MONTH($A30)+1,1),T11GA4LandingDaily[session_channel],"Organic Search",T11GA4LandingDaily[data_quality],"Measured",T11GA4LandingDaily[currency],"&lt;&gt;"&amp;'25_Config'!$B$11)&gt;0,"",SUMIFS(T11GA4LandingDaily[purchase_revenue],T11GA4LandingDaily[target_country],$B30,T11GA4LandingDaily[language],$C30,T11GA4LandingDaily[date],"&gt;="&amp;$A30,T11GA4LandingDaily[date],"&lt;"&amp;DATE(YEAR($A30),MONTH($A30)+1,1),T11GA4LandingDaily[session_channel],"Organic Search",T11GA4LandingDaily[data_quality],"Measured")))</x:f>
      </x:c>
      <x:c r="Q30" s="18" t="str">
        <x:f>IF(P30="","",'25_Config'!$B$11)</x:f>
      </x:c>
      <x:c r="R30" s="28"/>
      <x:c r="S30" s="18" t="str">
        <x:f>IF(AND(D30=0,I30=0),"Not refreshed","Check completeness, gaps and sample size")</x:f>
        <x:v>Not refreshed</x:v>
      </x:c>
    </x:row>
    <x:row r="31" ht="30" customHeight="1">
      <x:c r="A31" s="22" t="n">
        <x:v>46204</x:v>
      </x:c>
      <x:c r="B31" s="18" t="str">
        <x:v>Romania</x:v>
      </x:c>
      <x:c r="C31" s="18" t="str">
        <x:v>en</x:v>
      </x:c>
      <x:c r="D31" s="18" t="n">
        <x:f>COUNTIFS(T09GSCPageDaily[target_country],$B31,T09GSCPageDaily[language],$C31,T09GSCPageDaily[date],"&gt;="&amp;$A31,T09GSCPageDaily[date],"&lt;"&amp;DATE(YEAR($A31),MONTH($A31)+1,1),T09GSCPageDaily[data_state],"final")</x:f>
        <x:v>0</x:v>
      </x:c>
      <x:c r="E31" s="24" t="str">
        <x:f>IF(D31=0,"",SUMIFS(T09GSCPageDaily[clicks],T09GSCPageDaily[target_country],$B31,T09GSCPageDaily[language],$C31,T09GSCPageDaily[date],"&gt;="&amp;$A31,T09GSCPageDaily[date],"&lt;"&amp;DATE(YEAR($A31),MONTH($A31)+1,1),T09GSCPageDaily[data_state],"final"))</x:f>
      </x:c>
      <x:c r="F31" s="24" t="str">
        <x:f>IF(D31=0,"",SUMIFS(T09GSCPageDaily[impressions],T09GSCPageDaily[target_country],$B31,T09GSCPageDaily[language],$C31,T09GSCPageDaily[date],"&gt;="&amp;$A31,T09GSCPageDaily[date],"&lt;"&amp;DATE(YEAR($A31),MONTH($A31)+1,1),T09GSCPageDaily[data_state],"final"))</x:f>
      </x:c>
      <x:c r="G31" s="28" t="str">
        <x:f>IFERROR(IF(D31=0,"",E31/F31),"")</x:f>
      </x:c>
      <x:c r="H31" s="26" t="str">
        <x:f>IF(D31=0,"",IFERROR(SUMPRODUCT((T09GSCPageDaily[target_country]=$B31)*(T09GSCPageDaily[language]=$C31)*(T09GSCPageDaily[date]&gt;=$A31)*(T09GSCPageDaily[date]&lt;DATE(YEAR($A31),MONTH($A31)+1,1))*(T09GSCPageDaily[data_state]="final")*T09GSCPageDaily[avg_position]*T09GSCPageDaily[impressions])/F31,""))</x:f>
      </x:c>
      <x:c r="I31" s="18" t="n">
        <x:f>COUNTIFS(T11GA4LandingDaily[target_country],$B31,T11GA4LandingDaily[language],$C31,T11GA4LandingDaily[date],"&gt;="&amp;$A31,T11GA4LandingDaily[date],"&lt;"&amp;DATE(YEAR($A31),MONTH($A31)+1,1),T11GA4LandingDaily[session_channel],"Organic Search",T11GA4LandingDaily[data_quality],"Measured")</x:f>
        <x:v>0</x:v>
      </x:c>
      <x:c r="J31" s="18" t="str">
        <x:f>IF(I31=0,"",SUMIFS(T11GA4LandingDaily[sessions],T11GA4LandingDaily[target_country],$B31,T11GA4LandingDaily[language],$C31,T11GA4LandingDaily[date],"&gt;="&amp;$A31,T11GA4LandingDaily[date],"&lt;"&amp;DATE(YEAR($A31),MONTH($A31)+1,1),T11GA4LandingDaily[session_channel],"Organic Search",T11GA4LandingDaily[data_quality],"Measured"))</x:f>
      </x:c>
      <x:c r="K31" s="24" t="str">
        <x:f>IF(I31=0,"",SUMIFS(T11GA4LandingDaily[engaged_sessions],T11GA4LandingDaily[target_country],$B31,T11GA4LandingDaily[language],$C31,T11GA4LandingDaily[date],"&gt;="&amp;$A31,T11GA4LandingDaily[date],"&lt;"&amp;DATE(YEAR($A31),MONTH($A31)+1,1),T11GA4LandingDaily[session_channel],"Organic Search",T11GA4LandingDaily[data_quality],"Measured"))</x:f>
      </x:c>
      <x:c r="L31" s="28" t="str">
        <x:f>IFERROR(IF(I31=0,"",K31/J31),"")</x:f>
      </x:c>
      <x:c r="M31" s="24" t="str">
        <x:f>IF(I31=0,"",SUMIFS(T11GA4LandingDaily[key_events],T11GA4LandingDaily[target_country],$B31,T11GA4LandingDaily[language],$C31,T11GA4LandingDaily[date],"&gt;="&amp;$A31,T11GA4LandingDaily[date],"&lt;"&amp;DATE(YEAR($A31),MONTH($A31)+1,1),T11GA4LandingDaily[session_channel],"Organic Search",T11GA4LandingDaily[data_quality],"Measured"))</x:f>
      </x:c>
      <x:c r="N31" s="24" t="str">
        <x:f>IF(I31=0,"",SUMIFS(T11GA4LandingDaily[booking_starts],T11GA4LandingDaily[target_country],$B31,T11GA4LandingDaily[language],$C31,T11GA4LandingDaily[date],"&gt;="&amp;$A31,T11GA4LandingDaily[date],"&lt;"&amp;DATE(YEAR($A31),MONTH($A31)+1,1),T11GA4LandingDaily[session_channel],"Organic Search",T11GA4LandingDaily[data_quality],"Measured"))</x:f>
      </x:c>
      <x:c r="O31" s="24" t="str">
        <x:f>IF(I31=0,"",SUMIFS(T11GA4LandingDaily[purchases],T11GA4LandingDaily[target_country],$B31,T11GA4LandingDaily[language],$C31,T11GA4LandingDaily[date],"&gt;="&amp;$A31,T11GA4LandingDaily[date],"&lt;"&amp;DATE(YEAR($A31),MONTH($A31)+1,1),T11GA4LandingDaily[session_channel],"Organic Search",T11GA4LandingDaily[data_quality],"Measured"))</x:f>
      </x:c>
      <x:c r="P31" s="18" t="str">
        <x:f>IF(OR(I31=0,'25_Config'!$B$11=""),"",IF(COUNTIFS(T11GA4LandingDaily[target_country],$B31,T11GA4LandingDaily[language],$C31,T11GA4LandingDaily[date],"&gt;="&amp;$A31,T11GA4LandingDaily[date],"&lt;"&amp;DATE(YEAR($A31),MONTH($A31)+1,1),T11GA4LandingDaily[session_channel],"Organic Search",T11GA4LandingDaily[data_quality],"Measured",T11GA4LandingDaily[currency],"&lt;&gt;"&amp;'25_Config'!$B$11)&gt;0,"",SUMIFS(T11GA4LandingDaily[purchase_revenue],T11GA4LandingDaily[target_country],$B31,T11GA4LandingDaily[language],$C31,T11GA4LandingDaily[date],"&gt;="&amp;$A31,T11GA4LandingDaily[date],"&lt;"&amp;DATE(YEAR($A31),MONTH($A31)+1,1),T11GA4LandingDaily[session_channel],"Organic Search",T11GA4LandingDaily[data_quality],"Measured")))</x:f>
      </x:c>
      <x:c r="Q31" s="18" t="str">
        <x:f>IF(P31="","",'25_Config'!$B$11)</x:f>
      </x:c>
      <x:c r="R31" s="28"/>
      <x:c r="S31" s="18" t="str">
        <x:f>IF(AND(D31=0,I31=0),"Not refreshed","Check completeness, gaps and sample size")</x:f>
        <x:v>Not refreshed</x:v>
      </x:c>
    </x:row>
    <x:row r="32" ht="30" customHeight="1">
      <x:c r="A32" s="22" t="n">
        <x:v>46204</x:v>
      </x:c>
      <x:c r="B32" s="18" t="str">
        <x:v>Romania</x:v>
      </x:c>
      <x:c r="C32" s="18" t="str">
        <x:v>pt</x:v>
      </x:c>
      <x:c r="D32" s="18" t="n">
        <x:f>COUNTIFS(T09GSCPageDaily[target_country],$B32,T09GSCPageDaily[language],$C32,T09GSCPageDaily[date],"&gt;="&amp;$A32,T09GSCPageDaily[date],"&lt;"&amp;DATE(YEAR($A32),MONTH($A32)+1,1),T09GSCPageDaily[data_state],"final")</x:f>
        <x:v>0</x:v>
      </x:c>
      <x:c r="E32" s="24" t="str">
        <x:f>IF(D32=0,"",SUMIFS(T09GSCPageDaily[clicks],T09GSCPageDaily[target_country],$B32,T09GSCPageDaily[language],$C32,T09GSCPageDaily[date],"&gt;="&amp;$A32,T09GSCPageDaily[date],"&lt;"&amp;DATE(YEAR($A32),MONTH($A32)+1,1),T09GSCPageDaily[data_state],"final"))</x:f>
      </x:c>
      <x:c r="F32" s="24" t="str">
        <x:f>IF(D32=0,"",SUMIFS(T09GSCPageDaily[impressions],T09GSCPageDaily[target_country],$B32,T09GSCPageDaily[language],$C32,T09GSCPageDaily[date],"&gt;="&amp;$A32,T09GSCPageDaily[date],"&lt;"&amp;DATE(YEAR($A32),MONTH($A32)+1,1),T09GSCPageDaily[data_state],"final"))</x:f>
      </x:c>
      <x:c r="G32" s="28" t="str">
        <x:f>IFERROR(IF(D32=0,"",E32/F32),"")</x:f>
      </x:c>
      <x:c r="H32" s="26" t="str">
        <x:f>IF(D32=0,"",IFERROR(SUMPRODUCT((T09GSCPageDaily[target_country]=$B32)*(T09GSCPageDaily[language]=$C32)*(T09GSCPageDaily[date]&gt;=$A32)*(T09GSCPageDaily[date]&lt;DATE(YEAR($A32),MONTH($A32)+1,1))*(T09GSCPageDaily[data_state]="final")*T09GSCPageDaily[avg_position]*T09GSCPageDaily[impressions])/F32,""))</x:f>
      </x:c>
      <x:c r="I32" s="18" t="n">
        <x:f>COUNTIFS(T11GA4LandingDaily[target_country],$B32,T11GA4LandingDaily[language],$C32,T11GA4LandingDaily[date],"&gt;="&amp;$A32,T11GA4LandingDaily[date],"&lt;"&amp;DATE(YEAR($A32),MONTH($A32)+1,1),T11GA4LandingDaily[session_channel],"Organic Search",T11GA4LandingDaily[data_quality],"Measured")</x:f>
        <x:v>0</x:v>
      </x:c>
      <x:c r="J32" s="18" t="str">
        <x:f>IF(I32=0,"",SUMIFS(T11GA4LandingDaily[sessions],T11GA4LandingDaily[target_country],$B32,T11GA4LandingDaily[language],$C32,T11GA4LandingDaily[date],"&gt;="&amp;$A32,T11GA4LandingDaily[date],"&lt;"&amp;DATE(YEAR($A32),MONTH($A32)+1,1),T11GA4LandingDaily[session_channel],"Organic Search",T11GA4LandingDaily[data_quality],"Measured"))</x:f>
      </x:c>
      <x:c r="K32" s="24" t="str">
        <x:f>IF(I32=0,"",SUMIFS(T11GA4LandingDaily[engaged_sessions],T11GA4LandingDaily[target_country],$B32,T11GA4LandingDaily[language],$C32,T11GA4LandingDaily[date],"&gt;="&amp;$A32,T11GA4LandingDaily[date],"&lt;"&amp;DATE(YEAR($A32),MONTH($A32)+1,1),T11GA4LandingDaily[session_channel],"Organic Search",T11GA4LandingDaily[data_quality],"Measured"))</x:f>
      </x:c>
      <x:c r="L32" s="28" t="str">
        <x:f>IFERROR(IF(I32=0,"",K32/J32),"")</x:f>
      </x:c>
      <x:c r="M32" s="24" t="str">
        <x:f>IF(I32=0,"",SUMIFS(T11GA4LandingDaily[key_events],T11GA4LandingDaily[target_country],$B32,T11GA4LandingDaily[language],$C32,T11GA4LandingDaily[date],"&gt;="&amp;$A32,T11GA4LandingDaily[date],"&lt;"&amp;DATE(YEAR($A32),MONTH($A32)+1,1),T11GA4LandingDaily[session_channel],"Organic Search",T11GA4LandingDaily[data_quality],"Measured"))</x:f>
      </x:c>
      <x:c r="N32" s="24" t="str">
        <x:f>IF(I32=0,"",SUMIFS(T11GA4LandingDaily[booking_starts],T11GA4LandingDaily[target_country],$B32,T11GA4LandingDaily[language],$C32,T11GA4LandingDaily[date],"&gt;="&amp;$A32,T11GA4LandingDaily[date],"&lt;"&amp;DATE(YEAR($A32),MONTH($A32)+1,1),T11GA4LandingDaily[session_channel],"Organic Search",T11GA4LandingDaily[data_quality],"Measured"))</x:f>
      </x:c>
      <x:c r="O32" s="24" t="str">
        <x:f>IF(I32=0,"",SUMIFS(T11GA4LandingDaily[purchases],T11GA4LandingDaily[target_country],$B32,T11GA4LandingDaily[language],$C32,T11GA4LandingDaily[date],"&gt;="&amp;$A32,T11GA4LandingDaily[date],"&lt;"&amp;DATE(YEAR($A32),MONTH($A32)+1,1),T11GA4LandingDaily[session_channel],"Organic Search",T11GA4LandingDaily[data_quality],"Measured"))</x:f>
      </x:c>
      <x:c r="P32" s="18" t="str">
        <x:f>IF(OR(I32=0,'25_Config'!$B$11=""),"",IF(COUNTIFS(T11GA4LandingDaily[target_country],$B32,T11GA4LandingDaily[language],$C32,T11GA4LandingDaily[date],"&gt;="&amp;$A32,T11GA4LandingDaily[date],"&lt;"&amp;DATE(YEAR($A32),MONTH($A32)+1,1),T11GA4LandingDaily[session_channel],"Organic Search",T11GA4LandingDaily[data_quality],"Measured",T11GA4LandingDaily[currency],"&lt;&gt;"&amp;'25_Config'!$B$11)&gt;0,"",SUMIFS(T11GA4LandingDaily[purchase_revenue],T11GA4LandingDaily[target_country],$B32,T11GA4LandingDaily[language],$C32,T11GA4LandingDaily[date],"&gt;="&amp;$A32,T11GA4LandingDaily[date],"&lt;"&amp;DATE(YEAR($A32),MONTH($A32)+1,1),T11GA4LandingDaily[session_channel],"Organic Search",T11GA4LandingDaily[data_quality],"Measured")))</x:f>
      </x:c>
      <x:c r="Q32" s="18" t="str">
        <x:f>IF(P32="","",'25_Config'!$B$11)</x:f>
      </x:c>
      <x:c r="R32" s="28"/>
      <x:c r="S32" s="18" t="str">
        <x:f>IF(AND(D32=0,I32=0),"Not refreshed","Check completeness, gaps and sample size")</x:f>
        <x:v>Not refreshed</x:v>
      </x:c>
    </x:row>
    <x:row r="33" ht="30" customHeight="1">
      <x:c r="A33" s="22" t="n">
        <x:v>46204</x:v>
      </x:c>
      <x:c r="B33" s="18" t="str">
        <x:v>Romania</x:v>
      </x:c>
      <x:c r="C33" s="18" t="str">
        <x:v>es</x:v>
      </x:c>
      <x:c r="D33" s="18" t="n">
        <x:f>COUNTIFS(T09GSCPageDaily[target_country],$B33,T09GSCPageDaily[language],$C33,T09GSCPageDaily[date],"&gt;="&amp;$A33,T09GSCPageDaily[date],"&lt;"&amp;DATE(YEAR($A33),MONTH($A33)+1,1),T09GSCPageDaily[data_state],"final")</x:f>
        <x:v>0</x:v>
      </x:c>
      <x:c r="E33" s="24" t="str">
        <x:f>IF(D33=0,"",SUMIFS(T09GSCPageDaily[clicks],T09GSCPageDaily[target_country],$B33,T09GSCPageDaily[language],$C33,T09GSCPageDaily[date],"&gt;="&amp;$A33,T09GSCPageDaily[date],"&lt;"&amp;DATE(YEAR($A33),MONTH($A33)+1,1),T09GSCPageDaily[data_state],"final"))</x:f>
      </x:c>
      <x:c r="F33" s="24" t="str">
        <x:f>IF(D33=0,"",SUMIFS(T09GSCPageDaily[impressions],T09GSCPageDaily[target_country],$B33,T09GSCPageDaily[language],$C33,T09GSCPageDaily[date],"&gt;="&amp;$A33,T09GSCPageDaily[date],"&lt;"&amp;DATE(YEAR($A33),MONTH($A33)+1,1),T09GSCPageDaily[data_state],"final"))</x:f>
      </x:c>
      <x:c r="G33" s="28" t="str">
        <x:f>IFERROR(IF(D33=0,"",E33/F33),"")</x:f>
      </x:c>
      <x:c r="H33" s="26" t="str">
        <x:f>IF(D33=0,"",IFERROR(SUMPRODUCT((T09GSCPageDaily[target_country]=$B33)*(T09GSCPageDaily[language]=$C33)*(T09GSCPageDaily[date]&gt;=$A33)*(T09GSCPageDaily[date]&lt;DATE(YEAR($A33),MONTH($A33)+1,1))*(T09GSCPageDaily[data_state]="final")*T09GSCPageDaily[avg_position]*T09GSCPageDaily[impressions])/F33,""))</x:f>
      </x:c>
      <x:c r="I33" s="18" t="n">
        <x:f>COUNTIFS(T11GA4LandingDaily[target_country],$B33,T11GA4LandingDaily[language],$C33,T11GA4LandingDaily[date],"&gt;="&amp;$A33,T11GA4LandingDaily[date],"&lt;"&amp;DATE(YEAR($A33),MONTH($A33)+1,1),T11GA4LandingDaily[session_channel],"Organic Search",T11GA4LandingDaily[data_quality],"Measured")</x:f>
        <x:v>0</x:v>
      </x:c>
      <x:c r="J33" s="18" t="str">
        <x:f>IF(I33=0,"",SUMIFS(T11GA4LandingDaily[sessions],T11GA4LandingDaily[target_country],$B33,T11GA4LandingDaily[language],$C33,T11GA4LandingDaily[date],"&gt;="&amp;$A33,T11GA4LandingDaily[date],"&lt;"&amp;DATE(YEAR($A33),MONTH($A33)+1,1),T11GA4LandingDaily[session_channel],"Organic Search",T11GA4LandingDaily[data_quality],"Measured"))</x:f>
      </x:c>
      <x:c r="K33" s="24" t="str">
        <x:f>IF(I33=0,"",SUMIFS(T11GA4LandingDaily[engaged_sessions],T11GA4LandingDaily[target_country],$B33,T11GA4LandingDaily[language],$C33,T11GA4LandingDaily[date],"&gt;="&amp;$A33,T11GA4LandingDaily[date],"&lt;"&amp;DATE(YEAR($A33),MONTH($A33)+1,1),T11GA4LandingDaily[session_channel],"Organic Search",T11GA4LandingDaily[data_quality],"Measured"))</x:f>
      </x:c>
      <x:c r="L33" s="28" t="str">
        <x:f>IFERROR(IF(I33=0,"",K33/J33),"")</x:f>
      </x:c>
      <x:c r="M33" s="24" t="str">
        <x:f>IF(I33=0,"",SUMIFS(T11GA4LandingDaily[key_events],T11GA4LandingDaily[target_country],$B33,T11GA4LandingDaily[language],$C33,T11GA4LandingDaily[date],"&gt;="&amp;$A33,T11GA4LandingDaily[date],"&lt;"&amp;DATE(YEAR($A33),MONTH($A33)+1,1),T11GA4LandingDaily[session_channel],"Organic Search",T11GA4LandingDaily[data_quality],"Measured"))</x:f>
      </x:c>
      <x:c r="N33" s="24" t="str">
        <x:f>IF(I33=0,"",SUMIFS(T11GA4LandingDaily[booking_starts],T11GA4LandingDaily[target_country],$B33,T11GA4LandingDaily[language],$C33,T11GA4LandingDaily[date],"&gt;="&amp;$A33,T11GA4LandingDaily[date],"&lt;"&amp;DATE(YEAR($A33),MONTH($A33)+1,1),T11GA4LandingDaily[session_channel],"Organic Search",T11GA4LandingDaily[data_quality],"Measured"))</x:f>
      </x:c>
      <x:c r="O33" s="24" t="str">
        <x:f>IF(I33=0,"",SUMIFS(T11GA4LandingDaily[purchases],T11GA4LandingDaily[target_country],$B33,T11GA4LandingDaily[language],$C33,T11GA4LandingDaily[date],"&gt;="&amp;$A33,T11GA4LandingDaily[date],"&lt;"&amp;DATE(YEAR($A33),MONTH($A33)+1,1),T11GA4LandingDaily[session_channel],"Organic Search",T11GA4LandingDaily[data_quality],"Measured"))</x:f>
      </x:c>
      <x:c r="P33" s="18" t="str">
        <x:f>IF(OR(I33=0,'25_Config'!$B$11=""),"",IF(COUNTIFS(T11GA4LandingDaily[target_country],$B33,T11GA4LandingDaily[language],$C33,T11GA4LandingDaily[date],"&gt;="&amp;$A33,T11GA4LandingDaily[date],"&lt;"&amp;DATE(YEAR($A33),MONTH($A33)+1,1),T11GA4LandingDaily[session_channel],"Organic Search",T11GA4LandingDaily[data_quality],"Measured",T11GA4LandingDaily[currency],"&lt;&gt;"&amp;'25_Config'!$B$11)&gt;0,"",SUMIFS(T11GA4LandingDaily[purchase_revenue],T11GA4LandingDaily[target_country],$B33,T11GA4LandingDaily[language],$C33,T11GA4LandingDaily[date],"&gt;="&amp;$A33,T11GA4LandingDaily[date],"&lt;"&amp;DATE(YEAR($A33),MONTH($A33)+1,1),T11GA4LandingDaily[session_channel],"Organic Search",T11GA4LandingDaily[data_quality],"Measured")))</x:f>
      </x:c>
      <x:c r="Q33" s="18" t="str">
        <x:f>IF(P33="","",'25_Config'!$B$11)</x:f>
      </x:c>
      <x:c r="R33" s="28"/>
      <x:c r="S33" s="18" t="str">
        <x:f>IF(AND(D33=0,I33=0),"Not refreshed","Check completeness, gaps and sample size")</x:f>
        <x:v>Not refreshed</x:v>
      </x:c>
    </x:row>
    <x:row r="34" ht="30" customHeight="1">
      <x:c r="A34" s="22" t="n">
        <x:v>46204</x:v>
      </x:c>
      <x:c r="B34" s="18" t="str">
        <x:v>Romania</x:v>
      </x:c>
      <x:c r="C34" s="18" t="str">
        <x:v>cs</x:v>
      </x:c>
      <x:c r="D34" s="18" t="n">
        <x:f>COUNTIFS(T09GSCPageDaily[target_country],$B34,T09GSCPageDaily[language],$C34,T09GSCPageDaily[date],"&gt;="&amp;$A34,T09GSCPageDaily[date],"&lt;"&amp;DATE(YEAR($A34),MONTH($A34)+1,1),T09GSCPageDaily[data_state],"final")</x:f>
        <x:v>0</x:v>
      </x:c>
      <x:c r="E34" s="24" t="str">
        <x:f>IF(D34=0,"",SUMIFS(T09GSCPageDaily[clicks],T09GSCPageDaily[target_country],$B34,T09GSCPageDaily[language],$C34,T09GSCPageDaily[date],"&gt;="&amp;$A34,T09GSCPageDaily[date],"&lt;"&amp;DATE(YEAR($A34),MONTH($A34)+1,1),T09GSCPageDaily[data_state],"final"))</x:f>
      </x:c>
      <x:c r="F34" s="24" t="str">
        <x:f>IF(D34=0,"",SUMIFS(T09GSCPageDaily[impressions],T09GSCPageDaily[target_country],$B34,T09GSCPageDaily[language],$C34,T09GSCPageDaily[date],"&gt;="&amp;$A34,T09GSCPageDaily[date],"&lt;"&amp;DATE(YEAR($A34),MONTH($A34)+1,1),T09GSCPageDaily[data_state],"final"))</x:f>
      </x:c>
      <x:c r="G34" s="28" t="str">
        <x:f>IFERROR(IF(D34=0,"",E34/F34),"")</x:f>
      </x:c>
      <x:c r="H34" s="26" t="str">
        <x:f>IF(D34=0,"",IFERROR(SUMPRODUCT((T09GSCPageDaily[target_country]=$B34)*(T09GSCPageDaily[language]=$C34)*(T09GSCPageDaily[date]&gt;=$A34)*(T09GSCPageDaily[date]&lt;DATE(YEAR($A34),MONTH($A34)+1,1))*(T09GSCPageDaily[data_state]="final")*T09GSCPageDaily[avg_position]*T09GSCPageDaily[impressions])/F34,""))</x:f>
      </x:c>
      <x:c r="I34" s="18" t="n">
        <x:f>COUNTIFS(T11GA4LandingDaily[target_country],$B34,T11GA4LandingDaily[language],$C34,T11GA4LandingDaily[date],"&gt;="&amp;$A34,T11GA4LandingDaily[date],"&lt;"&amp;DATE(YEAR($A34),MONTH($A34)+1,1),T11GA4LandingDaily[session_channel],"Organic Search",T11GA4LandingDaily[data_quality],"Measured")</x:f>
        <x:v>0</x:v>
      </x:c>
      <x:c r="J34" s="18" t="str">
        <x:f>IF(I34=0,"",SUMIFS(T11GA4LandingDaily[sessions],T11GA4LandingDaily[target_country],$B34,T11GA4LandingDaily[language],$C34,T11GA4LandingDaily[date],"&gt;="&amp;$A34,T11GA4LandingDaily[date],"&lt;"&amp;DATE(YEAR($A34),MONTH($A34)+1,1),T11GA4LandingDaily[session_channel],"Organic Search",T11GA4LandingDaily[data_quality],"Measured"))</x:f>
      </x:c>
      <x:c r="K34" s="24" t="str">
        <x:f>IF(I34=0,"",SUMIFS(T11GA4LandingDaily[engaged_sessions],T11GA4LandingDaily[target_country],$B34,T11GA4LandingDaily[language],$C34,T11GA4LandingDaily[date],"&gt;="&amp;$A34,T11GA4LandingDaily[date],"&lt;"&amp;DATE(YEAR($A34),MONTH($A34)+1,1),T11GA4LandingDaily[session_channel],"Organic Search",T11GA4LandingDaily[data_quality],"Measured"))</x:f>
      </x:c>
      <x:c r="L34" s="28" t="str">
        <x:f>IFERROR(IF(I34=0,"",K34/J34),"")</x:f>
      </x:c>
      <x:c r="M34" s="24" t="str">
        <x:f>IF(I34=0,"",SUMIFS(T11GA4LandingDaily[key_events],T11GA4LandingDaily[target_country],$B34,T11GA4LandingDaily[language],$C34,T11GA4LandingDaily[date],"&gt;="&amp;$A34,T11GA4LandingDaily[date],"&lt;"&amp;DATE(YEAR($A34),MONTH($A34)+1,1),T11GA4LandingDaily[session_channel],"Organic Search",T11GA4LandingDaily[data_quality],"Measured"))</x:f>
      </x:c>
      <x:c r="N34" s="24" t="str">
        <x:f>IF(I34=0,"",SUMIFS(T11GA4LandingDaily[booking_starts],T11GA4LandingDaily[target_country],$B34,T11GA4LandingDaily[language],$C34,T11GA4LandingDaily[date],"&gt;="&amp;$A34,T11GA4LandingDaily[date],"&lt;"&amp;DATE(YEAR($A34),MONTH($A34)+1,1),T11GA4LandingDaily[session_channel],"Organic Search",T11GA4LandingDaily[data_quality],"Measured"))</x:f>
      </x:c>
      <x:c r="O34" s="24" t="str">
        <x:f>IF(I34=0,"",SUMIFS(T11GA4LandingDaily[purchases],T11GA4LandingDaily[target_country],$B34,T11GA4LandingDaily[language],$C34,T11GA4LandingDaily[date],"&gt;="&amp;$A34,T11GA4LandingDaily[date],"&lt;"&amp;DATE(YEAR($A34),MONTH($A34)+1,1),T11GA4LandingDaily[session_channel],"Organic Search",T11GA4LandingDaily[data_quality],"Measured"))</x:f>
      </x:c>
      <x:c r="P34" s="18" t="str">
        <x:f>IF(OR(I34=0,'25_Config'!$B$11=""),"",IF(COUNTIFS(T11GA4LandingDaily[target_country],$B34,T11GA4LandingDaily[language],$C34,T11GA4LandingDaily[date],"&gt;="&amp;$A34,T11GA4LandingDaily[date],"&lt;"&amp;DATE(YEAR($A34),MONTH($A34)+1,1),T11GA4LandingDaily[session_channel],"Organic Search",T11GA4LandingDaily[data_quality],"Measured",T11GA4LandingDaily[currency],"&lt;&gt;"&amp;'25_Config'!$B$11)&gt;0,"",SUMIFS(T11GA4LandingDaily[purchase_revenue],T11GA4LandingDaily[target_country],$B34,T11GA4LandingDaily[language],$C34,T11GA4LandingDaily[date],"&gt;="&amp;$A34,T11GA4LandingDaily[date],"&lt;"&amp;DATE(YEAR($A34),MONTH($A34)+1,1),T11GA4LandingDaily[session_channel],"Organic Search",T11GA4LandingDaily[data_quality],"Measured")))</x:f>
      </x:c>
      <x:c r="Q34" s="18" t="str">
        <x:f>IF(P34="","",'25_Config'!$B$11)</x:f>
      </x:c>
      <x:c r="R34" s="28"/>
      <x:c r="S34" s="18" t="str">
        <x:f>IF(AND(D34=0,I34=0),"Not refreshed","Check completeness, gaps and sample size")</x:f>
        <x:v>Not refreshed</x:v>
      </x:c>
    </x:row>
    <x:row r="35" ht="30" customHeight="1">
      <x:c r="A35" s="22" t="n">
        <x:v>46204</x:v>
      </x:c>
      <x:c r="B35" s="18" t="str">
        <x:v>Romania</x:v>
      </x:c>
      <x:c r="C35" s="18" t="str">
        <x:v>de</x:v>
      </x:c>
      <x:c r="D35" s="18" t="n">
        <x:f>COUNTIFS(T09GSCPageDaily[target_country],$B35,T09GSCPageDaily[language],$C35,T09GSCPageDaily[date],"&gt;="&amp;$A35,T09GSCPageDaily[date],"&lt;"&amp;DATE(YEAR($A35),MONTH($A35)+1,1),T09GSCPageDaily[data_state],"final")</x:f>
        <x:v>0</x:v>
      </x:c>
      <x:c r="E35" s="24" t="str">
        <x:f>IF(D35=0,"",SUMIFS(T09GSCPageDaily[clicks],T09GSCPageDaily[target_country],$B35,T09GSCPageDaily[language],$C35,T09GSCPageDaily[date],"&gt;="&amp;$A35,T09GSCPageDaily[date],"&lt;"&amp;DATE(YEAR($A35),MONTH($A35)+1,1),T09GSCPageDaily[data_state],"final"))</x:f>
      </x:c>
      <x:c r="F35" s="24" t="str">
        <x:f>IF(D35=0,"",SUMIFS(T09GSCPageDaily[impressions],T09GSCPageDaily[target_country],$B35,T09GSCPageDaily[language],$C35,T09GSCPageDaily[date],"&gt;="&amp;$A35,T09GSCPageDaily[date],"&lt;"&amp;DATE(YEAR($A35),MONTH($A35)+1,1),T09GSCPageDaily[data_state],"final"))</x:f>
      </x:c>
      <x:c r="G35" s="28" t="str">
        <x:f>IFERROR(IF(D35=0,"",E35/F35),"")</x:f>
      </x:c>
      <x:c r="H35" s="26" t="str">
        <x:f>IF(D35=0,"",IFERROR(SUMPRODUCT((T09GSCPageDaily[target_country]=$B35)*(T09GSCPageDaily[language]=$C35)*(T09GSCPageDaily[date]&gt;=$A35)*(T09GSCPageDaily[date]&lt;DATE(YEAR($A35),MONTH($A35)+1,1))*(T09GSCPageDaily[data_state]="final")*T09GSCPageDaily[avg_position]*T09GSCPageDaily[impressions])/F35,""))</x:f>
      </x:c>
      <x:c r="I35" s="18" t="n">
        <x:f>COUNTIFS(T11GA4LandingDaily[target_country],$B35,T11GA4LandingDaily[language],$C35,T11GA4LandingDaily[date],"&gt;="&amp;$A35,T11GA4LandingDaily[date],"&lt;"&amp;DATE(YEAR($A35),MONTH($A35)+1,1),T11GA4LandingDaily[session_channel],"Organic Search",T11GA4LandingDaily[data_quality],"Measured")</x:f>
        <x:v>0</x:v>
      </x:c>
      <x:c r="J35" s="18" t="str">
        <x:f>IF(I35=0,"",SUMIFS(T11GA4LandingDaily[sessions],T11GA4LandingDaily[target_country],$B35,T11GA4LandingDaily[language],$C35,T11GA4LandingDaily[date],"&gt;="&amp;$A35,T11GA4LandingDaily[date],"&lt;"&amp;DATE(YEAR($A35),MONTH($A35)+1,1),T11GA4LandingDaily[session_channel],"Organic Search",T11GA4LandingDaily[data_quality],"Measured"))</x:f>
      </x:c>
      <x:c r="K35" s="24" t="str">
        <x:f>IF(I35=0,"",SUMIFS(T11GA4LandingDaily[engaged_sessions],T11GA4LandingDaily[target_country],$B35,T11GA4LandingDaily[language],$C35,T11GA4LandingDaily[date],"&gt;="&amp;$A35,T11GA4LandingDaily[date],"&lt;"&amp;DATE(YEAR($A35),MONTH($A35)+1,1),T11GA4LandingDaily[session_channel],"Organic Search",T11GA4LandingDaily[data_quality],"Measured"))</x:f>
      </x:c>
      <x:c r="L35" s="28" t="str">
        <x:f>IFERROR(IF(I35=0,"",K35/J35),"")</x:f>
      </x:c>
      <x:c r="M35" s="24" t="str">
        <x:f>IF(I35=0,"",SUMIFS(T11GA4LandingDaily[key_events],T11GA4LandingDaily[target_country],$B35,T11GA4LandingDaily[language],$C35,T11GA4LandingDaily[date],"&gt;="&amp;$A35,T11GA4LandingDaily[date],"&lt;"&amp;DATE(YEAR($A35),MONTH($A35)+1,1),T11GA4LandingDaily[session_channel],"Organic Search",T11GA4LandingDaily[data_quality],"Measured"))</x:f>
      </x:c>
      <x:c r="N35" s="24" t="str">
        <x:f>IF(I35=0,"",SUMIFS(T11GA4LandingDaily[booking_starts],T11GA4LandingDaily[target_country],$B35,T11GA4LandingDaily[language],$C35,T11GA4LandingDaily[date],"&gt;="&amp;$A35,T11GA4LandingDaily[date],"&lt;"&amp;DATE(YEAR($A35),MONTH($A35)+1,1),T11GA4LandingDaily[session_channel],"Organic Search",T11GA4LandingDaily[data_quality],"Measured"))</x:f>
      </x:c>
      <x:c r="O35" s="24" t="str">
        <x:f>IF(I35=0,"",SUMIFS(T11GA4LandingDaily[purchases],T11GA4LandingDaily[target_country],$B35,T11GA4LandingDaily[language],$C35,T11GA4LandingDaily[date],"&gt;="&amp;$A35,T11GA4LandingDaily[date],"&lt;"&amp;DATE(YEAR($A35),MONTH($A35)+1,1),T11GA4LandingDaily[session_channel],"Organic Search",T11GA4LandingDaily[data_quality],"Measured"))</x:f>
      </x:c>
      <x:c r="P35" s="18" t="str">
        <x:f>IF(OR(I35=0,'25_Config'!$B$11=""),"",IF(COUNTIFS(T11GA4LandingDaily[target_country],$B35,T11GA4LandingDaily[language],$C35,T11GA4LandingDaily[date],"&gt;="&amp;$A35,T11GA4LandingDaily[date],"&lt;"&amp;DATE(YEAR($A35),MONTH($A35)+1,1),T11GA4LandingDaily[session_channel],"Organic Search",T11GA4LandingDaily[data_quality],"Measured",T11GA4LandingDaily[currency],"&lt;&gt;"&amp;'25_Config'!$B$11)&gt;0,"",SUMIFS(T11GA4LandingDaily[purchase_revenue],T11GA4LandingDaily[target_country],$B35,T11GA4LandingDaily[language],$C35,T11GA4LandingDaily[date],"&gt;="&amp;$A35,T11GA4LandingDaily[date],"&lt;"&amp;DATE(YEAR($A35),MONTH($A35)+1,1),T11GA4LandingDaily[session_channel],"Organic Search",T11GA4LandingDaily[data_quality],"Measured")))</x:f>
      </x:c>
      <x:c r="Q35" s="18" t="str">
        <x:f>IF(P35="","",'25_Config'!$B$11)</x:f>
      </x:c>
      <x:c r="R35" s="28"/>
      <x:c r="S35" s="18" t="str">
        <x:f>IF(AND(D35=0,I35=0),"Not refreshed","Check completeness, gaps and sample size")</x:f>
        <x:v>Not refreshed</x:v>
      </x:c>
    </x:row>
    <x:row r="36" ht="30" customHeight="1">
      <x:c r="A36" s="22" t="n">
        <x:v>46204</x:v>
      </x:c>
      <x:c r="B36" s="18" t="str">
        <x:v>Brazil</x:v>
      </x:c>
      <x:c r="C36" s="18" t="str">
        <x:v>pt</x:v>
      </x:c>
      <x:c r="D36" s="18" t="n">
        <x:f>COUNTIFS(T09GSCPageDaily[target_country],$B36,T09GSCPageDaily[language],$C36,T09GSCPageDaily[date],"&gt;="&amp;$A36,T09GSCPageDaily[date],"&lt;"&amp;DATE(YEAR($A36),MONTH($A36)+1,1),T09GSCPageDaily[data_state],"final")</x:f>
        <x:v>0</x:v>
      </x:c>
      <x:c r="E36" s="24" t="str">
        <x:f>IF(D36=0,"",SUMIFS(T09GSCPageDaily[clicks],T09GSCPageDaily[target_country],$B36,T09GSCPageDaily[language],$C36,T09GSCPageDaily[date],"&gt;="&amp;$A36,T09GSCPageDaily[date],"&lt;"&amp;DATE(YEAR($A36),MONTH($A36)+1,1),T09GSCPageDaily[data_state],"final"))</x:f>
      </x:c>
      <x:c r="F36" s="24" t="str">
        <x:f>IF(D36=0,"",SUMIFS(T09GSCPageDaily[impressions],T09GSCPageDaily[target_country],$B36,T09GSCPageDaily[language],$C36,T09GSCPageDaily[date],"&gt;="&amp;$A36,T09GSCPageDaily[date],"&lt;"&amp;DATE(YEAR($A36),MONTH($A36)+1,1),T09GSCPageDaily[data_state],"final"))</x:f>
      </x:c>
      <x:c r="G36" s="28" t="str">
        <x:f>IFERROR(IF(D36=0,"",E36/F36),"")</x:f>
      </x:c>
      <x:c r="H36" s="26" t="str">
        <x:f>IF(D36=0,"",IFERROR(SUMPRODUCT((T09GSCPageDaily[target_country]=$B36)*(T09GSCPageDaily[language]=$C36)*(T09GSCPageDaily[date]&gt;=$A36)*(T09GSCPageDaily[date]&lt;DATE(YEAR($A36),MONTH($A36)+1,1))*(T09GSCPageDaily[data_state]="final")*T09GSCPageDaily[avg_position]*T09GSCPageDaily[impressions])/F36,""))</x:f>
      </x:c>
      <x:c r="I36" s="18" t="n">
        <x:f>COUNTIFS(T11GA4LandingDaily[target_country],$B36,T11GA4LandingDaily[language],$C36,T11GA4LandingDaily[date],"&gt;="&amp;$A36,T11GA4LandingDaily[date],"&lt;"&amp;DATE(YEAR($A36),MONTH($A36)+1,1),T11GA4LandingDaily[session_channel],"Organic Search",T11GA4LandingDaily[data_quality],"Measured")</x:f>
        <x:v>0</x:v>
      </x:c>
      <x:c r="J36" s="18" t="str">
        <x:f>IF(I36=0,"",SUMIFS(T11GA4LandingDaily[sessions],T11GA4LandingDaily[target_country],$B36,T11GA4LandingDaily[language],$C36,T11GA4LandingDaily[date],"&gt;="&amp;$A36,T11GA4LandingDaily[date],"&lt;"&amp;DATE(YEAR($A36),MONTH($A36)+1,1),T11GA4LandingDaily[session_channel],"Organic Search",T11GA4LandingDaily[data_quality],"Measured"))</x:f>
      </x:c>
      <x:c r="K36" s="24" t="str">
        <x:f>IF(I36=0,"",SUMIFS(T11GA4LandingDaily[engaged_sessions],T11GA4LandingDaily[target_country],$B36,T11GA4LandingDaily[language],$C36,T11GA4LandingDaily[date],"&gt;="&amp;$A36,T11GA4LandingDaily[date],"&lt;"&amp;DATE(YEAR($A36),MONTH($A36)+1,1),T11GA4LandingDaily[session_channel],"Organic Search",T11GA4LandingDaily[data_quality],"Measured"))</x:f>
      </x:c>
      <x:c r="L36" s="28" t="str">
        <x:f>IFERROR(IF(I36=0,"",K36/J36),"")</x:f>
      </x:c>
      <x:c r="M36" s="24" t="str">
        <x:f>IF(I36=0,"",SUMIFS(T11GA4LandingDaily[key_events],T11GA4LandingDaily[target_country],$B36,T11GA4LandingDaily[language],$C36,T11GA4LandingDaily[date],"&gt;="&amp;$A36,T11GA4LandingDaily[date],"&lt;"&amp;DATE(YEAR($A36),MONTH($A36)+1,1),T11GA4LandingDaily[session_channel],"Organic Search",T11GA4LandingDaily[data_quality],"Measured"))</x:f>
      </x:c>
      <x:c r="N36" s="24" t="str">
        <x:f>IF(I36=0,"",SUMIFS(T11GA4LandingDaily[booking_starts],T11GA4LandingDaily[target_country],$B36,T11GA4LandingDaily[language],$C36,T11GA4LandingDaily[date],"&gt;="&amp;$A36,T11GA4LandingDaily[date],"&lt;"&amp;DATE(YEAR($A36),MONTH($A36)+1,1),T11GA4LandingDaily[session_channel],"Organic Search",T11GA4LandingDaily[data_quality],"Measured"))</x:f>
      </x:c>
      <x:c r="O36" s="24" t="str">
        <x:f>IF(I36=0,"",SUMIFS(T11GA4LandingDaily[purchases],T11GA4LandingDaily[target_country],$B36,T11GA4LandingDaily[language],$C36,T11GA4LandingDaily[date],"&gt;="&amp;$A36,T11GA4LandingDaily[date],"&lt;"&amp;DATE(YEAR($A36),MONTH($A36)+1,1),T11GA4LandingDaily[session_channel],"Organic Search",T11GA4LandingDaily[data_quality],"Measured"))</x:f>
      </x:c>
      <x:c r="P36" s="18" t="str">
        <x:f>IF(OR(I36=0,'25_Config'!$B$11=""),"",IF(COUNTIFS(T11GA4LandingDaily[target_country],$B36,T11GA4LandingDaily[language],$C36,T11GA4LandingDaily[date],"&gt;="&amp;$A36,T11GA4LandingDaily[date],"&lt;"&amp;DATE(YEAR($A36),MONTH($A36)+1,1),T11GA4LandingDaily[session_channel],"Organic Search",T11GA4LandingDaily[data_quality],"Measured",T11GA4LandingDaily[currency],"&lt;&gt;"&amp;'25_Config'!$B$11)&gt;0,"",SUMIFS(T11GA4LandingDaily[purchase_revenue],T11GA4LandingDaily[target_country],$B36,T11GA4LandingDaily[language],$C36,T11GA4LandingDaily[date],"&gt;="&amp;$A36,T11GA4LandingDaily[date],"&lt;"&amp;DATE(YEAR($A36),MONTH($A36)+1,1),T11GA4LandingDaily[session_channel],"Organic Search",T11GA4LandingDaily[data_quality],"Measured")))</x:f>
      </x:c>
      <x:c r="Q36" s="18" t="str">
        <x:f>IF(P36="","",'25_Config'!$B$11)</x:f>
      </x:c>
      <x:c r="R36" s="28"/>
      <x:c r="S36" s="18" t="str">
        <x:f>IF(AND(D36=0,I36=0),"Not refreshed","Check completeness, gaps and sample size")</x:f>
        <x:v>Not refreshed</x:v>
      </x:c>
    </x:row>
    <x:row r="37" ht="30" customHeight="1">
      <x:c r="A37" s="22" t="n">
        <x:v>46204</x:v>
      </x:c>
      <x:c r="B37" s="18" t="str">
        <x:v>Brazil</x:v>
      </x:c>
      <x:c r="C37" s="18" t="str">
        <x:v>en</x:v>
      </x:c>
      <x:c r="D37" s="18" t="n">
        <x:f>COUNTIFS(T09GSCPageDaily[target_country],$B37,T09GSCPageDaily[language],$C37,T09GSCPageDaily[date],"&gt;="&amp;$A37,T09GSCPageDaily[date],"&lt;"&amp;DATE(YEAR($A37),MONTH($A37)+1,1),T09GSCPageDaily[data_state],"final")</x:f>
        <x:v>0</x:v>
      </x:c>
      <x:c r="E37" s="24" t="str">
        <x:f>IF(D37=0,"",SUMIFS(T09GSCPageDaily[clicks],T09GSCPageDaily[target_country],$B37,T09GSCPageDaily[language],$C37,T09GSCPageDaily[date],"&gt;="&amp;$A37,T09GSCPageDaily[date],"&lt;"&amp;DATE(YEAR($A37),MONTH($A37)+1,1),T09GSCPageDaily[data_state],"final"))</x:f>
      </x:c>
      <x:c r="F37" s="24" t="str">
        <x:f>IF(D37=0,"",SUMIFS(T09GSCPageDaily[impressions],T09GSCPageDaily[target_country],$B37,T09GSCPageDaily[language],$C37,T09GSCPageDaily[date],"&gt;="&amp;$A37,T09GSCPageDaily[date],"&lt;"&amp;DATE(YEAR($A37),MONTH($A37)+1,1),T09GSCPageDaily[data_state],"final"))</x:f>
      </x:c>
      <x:c r="G37" s="28" t="str">
        <x:f>IFERROR(IF(D37=0,"",E37/F37),"")</x:f>
      </x:c>
      <x:c r="H37" s="26" t="str">
        <x:f>IF(D37=0,"",IFERROR(SUMPRODUCT((T09GSCPageDaily[target_country]=$B37)*(T09GSCPageDaily[language]=$C37)*(T09GSCPageDaily[date]&gt;=$A37)*(T09GSCPageDaily[date]&lt;DATE(YEAR($A37),MONTH($A37)+1,1))*(T09GSCPageDaily[data_state]="final")*T09GSCPageDaily[avg_position]*T09GSCPageDaily[impressions])/F37,""))</x:f>
      </x:c>
      <x:c r="I37" s="18" t="n">
        <x:f>COUNTIFS(T11GA4LandingDaily[target_country],$B37,T11GA4LandingDaily[language],$C37,T11GA4LandingDaily[date],"&gt;="&amp;$A37,T11GA4LandingDaily[date],"&lt;"&amp;DATE(YEAR($A37),MONTH($A37)+1,1),T11GA4LandingDaily[session_channel],"Organic Search",T11GA4LandingDaily[data_quality],"Measured")</x:f>
        <x:v>0</x:v>
      </x:c>
      <x:c r="J37" s="18" t="str">
        <x:f>IF(I37=0,"",SUMIFS(T11GA4LandingDaily[sessions],T11GA4LandingDaily[target_country],$B37,T11GA4LandingDaily[language],$C37,T11GA4LandingDaily[date],"&gt;="&amp;$A37,T11GA4LandingDaily[date],"&lt;"&amp;DATE(YEAR($A37),MONTH($A37)+1,1),T11GA4LandingDaily[session_channel],"Organic Search",T11GA4LandingDaily[data_quality],"Measured"))</x:f>
      </x:c>
      <x:c r="K37" s="24" t="str">
        <x:f>IF(I37=0,"",SUMIFS(T11GA4LandingDaily[engaged_sessions],T11GA4LandingDaily[target_country],$B37,T11GA4LandingDaily[language],$C37,T11GA4LandingDaily[date],"&gt;="&amp;$A37,T11GA4LandingDaily[date],"&lt;"&amp;DATE(YEAR($A37),MONTH($A37)+1,1),T11GA4LandingDaily[session_channel],"Organic Search",T11GA4LandingDaily[data_quality],"Measured"))</x:f>
      </x:c>
      <x:c r="L37" s="28" t="str">
        <x:f>IFERROR(IF(I37=0,"",K37/J37),"")</x:f>
      </x:c>
      <x:c r="M37" s="24" t="str">
        <x:f>IF(I37=0,"",SUMIFS(T11GA4LandingDaily[key_events],T11GA4LandingDaily[target_country],$B37,T11GA4LandingDaily[language],$C37,T11GA4LandingDaily[date],"&gt;="&amp;$A37,T11GA4LandingDaily[date],"&lt;"&amp;DATE(YEAR($A37),MONTH($A37)+1,1),T11GA4LandingDaily[session_channel],"Organic Search",T11GA4LandingDaily[data_quality],"Measured"))</x:f>
      </x:c>
      <x:c r="N37" s="24" t="str">
        <x:f>IF(I37=0,"",SUMIFS(T11GA4LandingDaily[booking_starts],T11GA4LandingDaily[target_country],$B37,T11GA4LandingDaily[language],$C37,T11GA4LandingDaily[date],"&gt;="&amp;$A37,T11GA4LandingDaily[date],"&lt;"&amp;DATE(YEAR($A37),MONTH($A37)+1,1),T11GA4LandingDaily[session_channel],"Organic Search",T11GA4LandingDaily[data_quality],"Measured"))</x:f>
      </x:c>
      <x:c r="O37" s="24" t="str">
        <x:f>IF(I37=0,"",SUMIFS(T11GA4LandingDaily[purchases],T11GA4LandingDaily[target_country],$B37,T11GA4LandingDaily[language],$C37,T11GA4LandingDaily[date],"&gt;="&amp;$A37,T11GA4LandingDaily[date],"&lt;"&amp;DATE(YEAR($A37),MONTH($A37)+1,1),T11GA4LandingDaily[session_channel],"Organic Search",T11GA4LandingDaily[data_quality],"Measured"))</x:f>
      </x:c>
      <x:c r="P37" s="18" t="str">
        <x:f>IF(OR(I37=0,'25_Config'!$B$11=""),"",IF(COUNTIFS(T11GA4LandingDaily[target_country],$B37,T11GA4LandingDaily[language],$C37,T11GA4LandingDaily[date],"&gt;="&amp;$A37,T11GA4LandingDaily[date],"&lt;"&amp;DATE(YEAR($A37),MONTH($A37)+1,1),T11GA4LandingDaily[session_channel],"Organic Search",T11GA4LandingDaily[data_quality],"Measured",T11GA4LandingDaily[currency],"&lt;&gt;"&amp;'25_Config'!$B$11)&gt;0,"",SUMIFS(T11GA4LandingDaily[purchase_revenue],T11GA4LandingDaily[target_country],$B37,T11GA4LandingDaily[language],$C37,T11GA4LandingDaily[date],"&gt;="&amp;$A37,T11GA4LandingDaily[date],"&lt;"&amp;DATE(YEAR($A37),MONTH($A37)+1,1),T11GA4LandingDaily[session_channel],"Organic Search",T11GA4LandingDaily[data_quality],"Measured")))</x:f>
      </x:c>
      <x:c r="Q37" s="18" t="str">
        <x:f>IF(P37="","",'25_Config'!$B$11)</x:f>
      </x:c>
      <x:c r="R37" s="28"/>
      <x:c r="S37" s="18" t="str">
        <x:f>IF(AND(D37=0,I37=0),"Not refreshed","Check completeness, gaps and sample size")</x:f>
        <x:v>Not refreshed</x:v>
      </x:c>
    </x:row>
    <x:row r="38" ht="30" customHeight="1">
      <x:c r="A38" s="22" t="n">
        <x:v>46204</x:v>
      </x:c>
      <x:c r="B38" s="18" t="str">
        <x:v>Brazil</x:v>
      </x:c>
      <x:c r="C38" s="18" t="str">
        <x:v>es</x:v>
      </x:c>
      <x:c r="D38" s="18" t="n">
        <x:f>COUNTIFS(T09GSCPageDaily[target_country],$B38,T09GSCPageDaily[language],$C38,T09GSCPageDaily[date],"&gt;="&amp;$A38,T09GSCPageDaily[date],"&lt;"&amp;DATE(YEAR($A38),MONTH($A38)+1,1),T09GSCPageDaily[data_state],"final")</x:f>
        <x:v>0</x:v>
      </x:c>
      <x:c r="E38" s="24" t="str">
        <x:f>IF(D38=0,"",SUMIFS(T09GSCPageDaily[clicks],T09GSCPageDaily[target_country],$B38,T09GSCPageDaily[language],$C38,T09GSCPageDaily[date],"&gt;="&amp;$A38,T09GSCPageDaily[date],"&lt;"&amp;DATE(YEAR($A38),MONTH($A38)+1,1),T09GSCPageDaily[data_state],"final"))</x:f>
      </x:c>
      <x:c r="F38" s="24" t="str">
        <x:f>IF(D38=0,"",SUMIFS(T09GSCPageDaily[impressions],T09GSCPageDaily[target_country],$B38,T09GSCPageDaily[language],$C38,T09GSCPageDaily[date],"&gt;="&amp;$A38,T09GSCPageDaily[date],"&lt;"&amp;DATE(YEAR($A38),MONTH($A38)+1,1),T09GSCPageDaily[data_state],"final"))</x:f>
      </x:c>
      <x:c r="G38" s="28" t="str">
        <x:f>IFERROR(IF(D38=0,"",E38/F38),"")</x:f>
      </x:c>
      <x:c r="H38" s="26" t="str">
        <x:f>IF(D38=0,"",IFERROR(SUMPRODUCT((T09GSCPageDaily[target_country]=$B38)*(T09GSCPageDaily[language]=$C38)*(T09GSCPageDaily[date]&gt;=$A38)*(T09GSCPageDaily[date]&lt;DATE(YEAR($A38),MONTH($A38)+1,1))*(T09GSCPageDaily[data_state]="final")*T09GSCPageDaily[avg_position]*T09GSCPageDaily[impressions])/F38,""))</x:f>
      </x:c>
      <x:c r="I38" s="18" t="n">
        <x:f>COUNTIFS(T11GA4LandingDaily[target_country],$B38,T11GA4LandingDaily[language],$C38,T11GA4LandingDaily[date],"&gt;="&amp;$A38,T11GA4LandingDaily[date],"&lt;"&amp;DATE(YEAR($A38),MONTH($A38)+1,1),T11GA4LandingDaily[session_channel],"Organic Search",T11GA4LandingDaily[data_quality],"Measured")</x:f>
        <x:v>0</x:v>
      </x:c>
      <x:c r="J38" s="18" t="str">
        <x:f>IF(I38=0,"",SUMIFS(T11GA4LandingDaily[sessions],T11GA4LandingDaily[target_country],$B38,T11GA4LandingDaily[language],$C38,T11GA4LandingDaily[date],"&gt;="&amp;$A38,T11GA4LandingDaily[date],"&lt;"&amp;DATE(YEAR($A38),MONTH($A38)+1,1),T11GA4LandingDaily[session_channel],"Organic Search",T11GA4LandingDaily[data_quality],"Measured"))</x:f>
      </x:c>
      <x:c r="K38" s="24" t="str">
        <x:f>IF(I38=0,"",SUMIFS(T11GA4LandingDaily[engaged_sessions],T11GA4LandingDaily[target_country],$B38,T11GA4LandingDaily[language],$C38,T11GA4LandingDaily[date],"&gt;="&amp;$A38,T11GA4LandingDaily[date],"&lt;"&amp;DATE(YEAR($A38),MONTH($A38)+1,1),T11GA4LandingDaily[session_channel],"Organic Search",T11GA4LandingDaily[data_quality],"Measured"))</x:f>
      </x:c>
      <x:c r="L38" s="28" t="str">
        <x:f>IFERROR(IF(I38=0,"",K38/J38),"")</x:f>
      </x:c>
      <x:c r="M38" s="24" t="str">
        <x:f>IF(I38=0,"",SUMIFS(T11GA4LandingDaily[key_events],T11GA4LandingDaily[target_country],$B38,T11GA4LandingDaily[language],$C38,T11GA4LandingDaily[date],"&gt;="&amp;$A38,T11GA4LandingDaily[date],"&lt;"&amp;DATE(YEAR($A38),MONTH($A38)+1,1),T11GA4LandingDaily[session_channel],"Organic Search",T11GA4LandingDaily[data_quality],"Measured"))</x:f>
      </x:c>
      <x:c r="N38" s="24" t="str">
        <x:f>IF(I38=0,"",SUMIFS(T11GA4LandingDaily[booking_starts],T11GA4LandingDaily[target_country],$B38,T11GA4LandingDaily[language],$C38,T11GA4LandingDaily[date],"&gt;="&amp;$A38,T11GA4LandingDaily[date],"&lt;"&amp;DATE(YEAR($A38),MONTH($A38)+1,1),T11GA4LandingDaily[session_channel],"Organic Search",T11GA4LandingDaily[data_quality],"Measured"))</x:f>
      </x:c>
      <x:c r="O38" s="24" t="str">
        <x:f>IF(I38=0,"",SUMIFS(T11GA4LandingDaily[purchases],T11GA4LandingDaily[target_country],$B38,T11GA4LandingDaily[language],$C38,T11GA4LandingDaily[date],"&gt;="&amp;$A38,T11GA4LandingDaily[date],"&lt;"&amp;DATE(YEAR($A38),MONTH($A38)+1,1),T11GA4LandingDaily[session_channel],"Organic Search",T11GA4LandingDaily[data_quality],"Measured"))</x:f>
      </x:c>
      <x:c r="P38" s="18" t="str">
        <x:f>IF(OR(I38=0,'25_Config'!$B$11=""),"",IF(COUNTIFS(T11GA4LandingDaily[target_country],$B38,T11GA4LandingDaily[language],$C38,T11GA4LandingDaily[date],"&gt;="&amp;$A38,T11GA4LandingDaily[date],"&lt;"&amp;DATE(YEAR($A38),MONTH($A38)+1,1),T11GA4LandingDaily[session_channel],"Organic Search",T11GA4LandingDaily[data_quality],"Measured",T11GA4LandingDaily[currency],"&lt;&gt;"&amp;'25_Config'!$B$11)&gt;0,"",SUMIFS(T11GA4LandingDaily[purchase_revenue],T11GA4LandingDaily[target_country],$B38,T11GA4LandingDaily[language],$C38,T11GA4LandingDaily[date],"&gt;="&amp;$A38,T11GA4LandingDaily[date],"&lt;"&amp;DATE(YEAR($A38),MONTH($A38)+1,1),T11GA4LandingDaily[session_channel],"Organic Search",T11GA4LandingDaily[data_quality],"Measured")))</x:f>
      </x:c>
      <x:c r="Q38" s="18" t="str">
        <x:f>IF(P38="","",'25_Config'!$B$11)</x:f>
      </x:c>
      <x:c r="R38" s="28"/>
      <x:c r="S38" s="18" t="str">
        <x:f>IF(AND(D38=0,I38=0),"Not refreshed","Check completeness, gaps and sample size")</x:f>
        <x:v>Not refreshed</x:v>
      </x:c>
    </x:row>
    <x:row r="39" ht="30" customHeight="1">
      <x:c r="A39" s="22" t="n">
        <x:v>46235</x:v>
      </x:c>
      <x:c r="B39" s="18" t="str">
        <x:v>Ireland</x:v>
      </x:c>
      <x:c r="C39" s="18" t="str">
        <x:v>en</x:v>
      </x:c>
      <x:c r="D39" s="18" t="n">
        <x:f>COUNTIFS(T09GSCPageDaily[target_country],$B39,T09GSCPageDaily[language],$C39,T09GSCPageDaily[date],"&gt;="&amp;$A39,T09GSCPageDaily[date],"&lt;"&amp;DATE(YEAR($A39),MONTH($A39)+1,1),T09GSCPageDaily[data_state],"final")</x:f>
        <x:v>0</x:v>
      </x:c>
      <x:c r="E39" s="24" t="str">
        <x:f>IF(D39=0,"",SUMIFS(T09GSCPageDaily[clicks],T09GSCPageDaily[target_country],$B39,T09GSCPageDaily[language],$C39,T09GSCPageDaily[date],"&gt;="&amp;$A39,T09GSCPageDaily[date],"&lt;"&amp;DATE(YEAR($A39),MONTH($A39)+1,1),T09GSCPageDaily[data_state],"final"))</x:f>
      </x:c>
      <x:c r="F39" s="24" t="str">
        <x:f>IF(D39=0,"",SUMIFS(T09GSCPageDaily[impressions],T09GSCPageDaily[target_country],$B39,T09GSCPageDaily[language],$C39,T09GSCPageDaily[date],"&gt;="&amp;$A39,T09GSCPageDaily[date],"&lt;"&amp;DATE(YEAR($A39),MONTH($A39)+1,1),T09GSCPageDaily[data_state],"final"))</x:f>
      </x:c>
      <x:c r="G39" s="28" t="str">
        <x:f>IFERROR(IF(D39=0,"",E39/F39),"")</x:f>
      </x:c>
      <x:c r="H39" s="26" t="str">
        <x:f>IF(D39=0,"",IFERROR(SUMPRODUCT((T09GSCPageDaily[target_country]=$B39)*(T09GSCPageDaily[language]=$C39)*(T09GSCPageDaily[date]&gt;=$A39)*(T09GSCPageDaily[date]&lt;DATE(YEAR($A39),MONTH($A39)+1,1))*(T09GSCPageDaily[data_state]="final")*T09GSCPageDaily[avg_position]*T09GSCPageDaily[impressions])/F39,""))</x:f>
      </x:c>
      <x:c r="I39" s="18" t="n">
        <x:f>COUNTIFS(T11GA4LandingDaily[target_country],$B39,T11GA4LandingDaily[language],$C39,T11GA4LandingDaily[date],"&gt;="&amp;$A39,T11GA4LandingDaily[date],"&lt;"&amp;DATE(YEAR($A39),MONTH($A39)+1,1),T11GA4LandingDaily[session_channel],"Organic Search",T11GA4LandingDaily[data_quality],"Measured")</x:f>
        <x:v>0</x:v>
      </x:c>
      <x:c r="J39" s="18" t="str">
        <x:f>IF(I39=0,"",SUMIFS(T11GA4LandingDaily[sessions],T11GA4LandingDaily[target_country],$B39,T11GA4LandingDaily[language],$C39,T11GA4LandingDaily[date],"&gt;="&amp;$A39,T11GA4LandingDaily[date],"&lt;"&amp;DATE(YEAR($A39),MONTH($A39)+1,1),T11GA4LandingDaily[session_channel],"Organic Search",T11GA4LandingDaily[data_quality],"Measured"))</x:f>
      </x:c>
      <x:c r="K39" s="24" t="str">
        <x:f>IF(I39=0,"",SUMIFS(T11GA4LandingDaily[engaged_sessions],T11GA4LandingDaily[target_country],$B39,T11GA4LandingDaily[language],$C39,T11GA4LandingDaily[date],"&gt;="&amp;$A39,T11GA4LandingDaily[date],"&lt;"&amp;DATE(YEAR($A39),MONTH($A39)+1,1),T11GA4LandingDaily[session_channel],"Organic Search",T11GA4LandingDaily[data_quality],"Measured"))</x:f>
      </x:c>
      <x:c r="L39" s="28" t="str">
        <x:f>IFERROR(IF(I39=0,"",K39/J39),"")</x:f>
      </x:c>
      <x:c r="M39" s="24" t="str">
        <x:f>IF(I39=0,"",SUMIFS(T11GA4LandingDaily[key_events],T11GA4LandingDaily[target_country],$B39,T11GA4LandingDaily[language],$C39,T11GA4LandingDaily[date],"&gt;="&amp;$A39,T11GA4LandingDaily[date],"&lt;"&amp;DATE(YEAR($A39),MONTH($A39)+1,1),T11GA4LandingDaily[session_channel],"Organic Search",T11GA4LandingDaily[data_quality],"Measured"))</x:f>
      </x:c>
      <x:c r="N39" s="24" t="str">
        <x:f>IF(I39=0,"",SUMIFS(T11GA4LandingDaily[booking_starts],T11GA4LandingDaily[target_country],$B39,T11GA4LandingDaily[language],$C39,T11GA4LandingDaily[date],"&gt;="&amp;$A39,T11GA4LandingDaily[date],"&lt;"&amp;DATE(YEAR($A39),MONTH($A39)+1,1),T11GA4LandingDaily[session_channel],"Organic Search",T11GA4LandingDaily[data_quality],"Measured"))</x:f>
      </x:c>
      <x:c r="O39" s="24" t="str">
        <x:f>IF(I39=0,"",SUMIFS(T11GA4LandingDaily[purchases],T11GA4LandingDaily[target_country],$B39,T11GA4LandingDaily[language],$C39,T11GA4LandingDaily[date],"&gt;="&amp;$A39,T11GA4LandingDaily[date],"&lt;"&amp;DATE(YEAR($A39),MONTH($A39)+1,1),T11GA4LandingDaily[session_channel],"Organic Search",T11GA4LandingDaily[data_quality],"Measured"))</x:f>
      </x:c>
      <x:c r="P39" s="18" t="str">
        <x:f>IF(OR(I39=0,'25_Config'!$B$11=""),"",IF(COUNTIFS(T11GA4LandingDaily[target_country],$B39,T11GA4LandingDaily[language],$C39,T11GA4LandingDaily[date],"&gt;="&amp;$A39,T11GA4LandingDaily[date],"&lt;"&amp;DATE(YEAR($A39),MONTH($A39)+1,1),T11GA4LandingDaily[session_channel],"Organic Search",T11GA4LandingDaily[data_quality],"Measured",T11GA4LandingDaily[currency],"&lt;&gt;"&amp;'25_Config'!$B$11)&gt;0,"",SUMIFS(T11GA4LandingDaily[purchase_revenue],T11GA4LandingDaily[target_country],$B39,T11GA4LandingDaily[language],$C39,T11GA4LandingDaily[date],"&gt;="&amp;$A39,T11GA4LandingDaily[date],"&lt;"&amp;DATE(YEAR($A39),MONTH($A39)+1,1),T11GA4LandingDaily[session_channel],"Organic Search",T11GA4LandingDaily[data_quality],"Measured")))</x:f>
      </x:c>
      <x:c r="Q39" s="18" t="str">
        <x:f>IF(P39="","",'25_Config'!$B$11)</x:f>
      </x:c>
      <x:c r="R39" s="28"/>
      <x:c r="S39" s="18" t="str">
        <x:f>IF(AND(D39=0,I39=0),"Not refreshed","Check completeness, gaps and sample size")</x:f>
        <x:v>Not refreshed</x:v>
      </x:c>
    </x:row>
    <x:row r="40" ht="30" customHeight="1">
      <x:c r="A40" s="22" t="n">
        <x:v>46235</x:v>
      </x:c>
      <x:c r="B40" s="18" t="str">
        <x:v>Ireland</x:v>
      </x:c>
      <x:c r="C40" s="18" t="str">
        <x:v>pt</x:v>
      </x:c>
      <x:c r="D40" s="18" t="n">
        <x:f>COUNTIFS(T09GSCPageDaily[target_country],$B40,T09GSCPageDaily[language],$C40,T09GSCPageDaily[date],"&gt;="&amp;$A40,T09GSCPageDaily[date],"&lt;"&amp;DATE(YEAR($A40),MONTH($A40)+1,1),T09GSCPageDaily[data_state],"final")</x:f>
        <x:v>0</x:v>
      </x:c>
      <x:c r="E40" s="24" t="str">
        <x:f>IF(D40=0,"",SUMIFS(T09GSCPageDaily[clicks],T09GSCPageDaily[target_country],$B40,T09GSCPageDaily[language],$C40,T09GSCPageDaily[date],"&gt;="&amp;$A40,T09GSCPageDaily[date],"&lt;"&amp;DATE(YEAR($A40),MONTH($A40)+1,1),T09GSCPageDaily[data_state],"final"))</x:f>
      </x:c>
      <x:c r="F40" s="24" t="str">
        <x:f>IF(D40=0,"",SUMIFS(T09GSCPageDaily[impressions],T09GSCPageDaily[target_country],$B40,T09GSCPageDaily[language],$C40,T09GSCPageDaily[date],"&gt;="&amp;$A40,T09GSCPageDaily[date],"&lt;"&amp;DATE(YEAR($A40),MONTH($A40)+1,1),T09GSCPageDaily[data_state],"final"))</x:f>
      </x:c>
      <x:c r="G40" s="28" t="str">
        <x:f>IFERROR(IF(D40=0,"",E40/F40),"")</x:f>
      </x:c>
      <x:c r="H40" s="26" t="str">
        <x:f>IF(D40=0,"",IFERROR(SUMPRODUCT((T09GSCPageDaily[target_country]=$B40)*(T09GSCPageDaily[language]=$C40)*(T09GSCPageDaily[date]&gt;=$A40)*(T09GSCPageDaily[date]&lt;DATE(YEAR($A40),MONTH($A40)+1,1))*(T09GSCPageDaily[data_state]="final")*T09GSCPageDaily[avg_position]*T09GSCPageDaily[impressions])/F40,""))</x:f>
      </x:c>
      <x:c r="I40" s="18" t="n">
        <x:f>COUNTIFS(T11GA4LandingDaily[target_country],$B40,T11GA4LandingDaily[language],$C40,T11GA4LandingDaily[date],"&gt;="&amp;$A40,T11GA4LandingDaily[date],"&lt;"&amp;DATE(YEAR($A40),MONTH($A40)+1,1),T11GA4LandingDaily[session_channel],"Organic Search",T11GA4LandingDaily[data_quality],"Measured")</x:f>
        <x:v>0</x:v>
      </x:c>
      <x:c r="J40" s="18" t="str">
        <x:f>IF(I40=0,"",SUMIFS(T11GA4LandingDaily[sessions],T11GA4LandingDaily[target_country],$B40,T11GA4LandingDaily[language],$C40,T11GA4LandingDaily[date],"&gt;="&amp;$A40,T11GA4LandingDaily[date],"&lt;"&amp;DATE(YEAR($A40),MONTH($A40)+1,1),T11GA4LandingDaily[session_channel],"Organic Search",T11GA4LandingDaily[data_quality],"Measured"))</x:f>
      </x:c>
      <x:c r="K40" s="24" t="str">
        <x:f>IF(I40=0,"",SUMIFS(T11GA4LandingDaily[engaged_sessions],T11GA4LandingDaily[target_country],$B40,T11GA4LandingDaily[language],$C40,T11GA4LandingDaily[date],"&gt;="&amp;$A40,T11GA4LandingDaily[date],"&lt;"&amp;DATE(YEAR($A40),MONTH($A40)+1,1),T11GA4LandingDaily[session_channel],"Organic Search",T11GA4LandingDaily[data_quality],"Measured"))</x:f>
      </x:c>
      <x:c r="L40" s="28" t="str">
        <x:f>IFERROR(IF(I40=0,"",K40/J40),"")</x:f>
      </x:c>
      <x:c r="M40" s="24" t="str">
        <x:f>IF(I40=0,"",SUMIFS(T11GA4LandingDaily[key_events],T11GA4LandingDaily[target_country],$B40,T11GA4LandingDaily[language],$C40,T11GA4LandingDaily[date],"&gt;="&amp;$A40,T11GA4LandingDaily[date],"&lt;"&amp;DATE(YEAR($A40),MONTH($A40)+1,1),T11GA4LandingDaily[session_channel],"Organic Search",T11GA4LandingDaily[data_quality],"Measured"))</x:f>
      </x:c>
      <x:c r="N40" s="24" t="str">
        <x:f>IF(I40=0,"",SUMIFS(T11GA4LandingDaily[booking_starts],T11GA4LandingDaily[target_country],$B40,T11GA4LandingDaily[language],$C40,T11GA4LandingDaily[date],"&gt;="&amp;$A40,T11GA4LandingDaily[date],"&lt;"&amp;DATE(YEAR($A40),MONTH($A40)+1,1),T11GA4LandingDaily[session_channel],"Organic Search",T11GA4LandingDaily[data_quality],"Measured"))</x:f>
      </x:c>
      <x:c r="O40" s="24" t="str">
        <x:f>IF(I40=0,"",SUMIFS(T11GA4LandingDaily[purchases],T11GA4LandingDaily[target_country],$B40,T11GA4LandingDaily[language],$C40,T11GA4LandingDaily[date],"&gt;="&amp;$A40,T11GA4LandingDaily[date],"&lt;"&amp;DATE(YEAR($A40),MONTH($A40)+1,1),T11GA4LandingDaily[session_channel],"Organic Search",T11GA4LandingDaily[data_quality],"Measured"))</x:f>
      </x:c>
      <x:c r="P40" s="18" t="str">
        <x:f>IF(OR(I40=0,'25_Config'!$B$11=""),"",IF(COUNTIFS(T11GA4LandingDaily[target_country],$B40,T11GA4LandingDaily[language],$C40,T11GA4LandingDaily[date],"&gt;="&amp;$A40,T11GA4LandingDaily[date],"&lt;"&amp;DATE(YEAR($A40),MONTH($A40)+1,1),T11GA4LandingDaily[session_channel],"Organic Search",T11GA4LandingDaily[data_quality],"Measured",T11GA4LandingDaily[currency],"&lt;&gt;"&amp;'25_Config'!$B$11)&gt;0,"",SUMIFS(T11GA4LandingDaily[purchase_revenue],T11GA4LandingDaily[target_country],$B40,T11GA4LandingDaily[language],$C40,T11GA4LandingDaily[date],"&gt;="&amp;$A40,T11GA4LandingDaily[date],"&lt;"&amp;DATE(YEAR($A40),MONTH($A40)+1,1),T11GA4LandingDaily[session_channel],"Organic Search",T11GA4LandingDaily[data_quality],"Measured")))</x:f>
      </x:c>
      <x:c r="Q40" s="18" t="str">
        <x:f>IF(P40="","",'25_Config'!$B$11)</x:f>
      </x:c>
      <x:c r="R40" s="28"/>
      <x:c r="S40" s="18" t="str">
        <x:f>IF(AND(D40=0,I40=0),"Not refreshed","Check completeness, gaps and sample size")</x:f>
        <x:v>Not refreshed</x:v>
      </x:c>
    </x:row>
    <x:row r="41" ht="30" customHeight="1">
      <x:c r="A41" s="22" t="n">
        <x:v>46235</x:v>
      </x:c>
      <x:c r="B41" s="18" t="str">
        <x:v>Ireland</x:v>
      </x:c>
      <x:c r="C41" s="18" t="str">
        <x:v>es</x:v>
      </x:c>
      <x:c r="D41" s="18" t="n">
        <x:f>COUNTIFS(T09GSCPageDaily[target_country],$B41,T09GSCPageDaily[language],$C41,T09GSCPageDaily[date],"&gt;="&amp;$A41,T09GSCPageDaily[date],"&lt;"&amp;DATE(YEAR($A41),MONTH($A41)+1,1),T09GSCPageDaily[data_state],"final")</x:f>
        <x:v>0</x:v>
      </x:c>
      <x:c r="E41" s="24" t="str">
        <x:f>IF(D41=0,"",SUMIFS(T09GSCPageDaily[clicks],T09GSCPageDaily[target_country],$B41,T09GSCPageDaily[language],$C41,T09GSCPageDaily[date],"&gt;="&amp;$A41,T09GSCPageDaily[date],"&lt;"&amp;DATE(YEAR($A41),MONTH($A41)+1,1),T09GSCPageDaily[data_state],"final"))</x:f>
      </x:c>
      <x:c r="F41" s="24" t="str">
        <x:f>IF(D41=0,"",SUMIFS(T09GSCPageDaily[impressions],T09GSCPageDaily[target_country],$B41,T09GSCPageDaily[language],$C41,T09GSCPageDaily[date],"&gt;="&amp;$A41,T09GSCPageDaily[date],"&lt;"&amp;DATE(YEAR($A41),MONTH($A41)+1,1),T09GSCPageDaily[data_state],"final"))</x:f>
      </x:c>
      <x:c r="G41" s="28" t="str">
        <x:f>IFERROR(IF(D41=0,"",E41/F41),"")</x:f>
      </x:c>
      <x:c r="H41" s="26" t="str">
        <x:f>IF(D41=0,"",IFERROR(SUMPRODUCT((T09GSCPageDaily[target_country]=$B41)*(T09GSCPageDaily[language]=$C41)*(T09GSCPageDaily[date]&gt;=$A41)*(T09GSCPageDaily[date]&lt;DATE(YEAR($A41),MONTH($A41)+1,1))*(T09GSCPageDaily[data_state]="final")*T09GSCPageDaily[avg_position]*T09GSCPageDaily[impressions])/F41,""))</x:f>
      </x:c>
      <x:c r="I41" s="18" t="n">
        <x:f>COUNTIFS(T11GA4LandingDaily[target_country],$B41,T11GA4LandingDaily[language],$C41,T11GA4LandingDaily[date],"&gt;="&amp;$A41,T11GA4LandingDaily[date],"&lt;"&amp;DATE(YEAR($A41),MONTH($A41)+1,1),T11GA4LandingDaily[session_channel],"Organic Search",T11GA4LandingDaily[data_quality],"Measured")</x:f>
        <x:v>0</x:v>
      </x:c>
      <x:c r="J41" s="18" t="str">
        <x:f>IF(I41=0,"",SUMIFS(T11GA4LandingDaily[sessions],T11GA4LandingDaily[target_country],$B41,T11GA4LandingDaily[language],$C41,T11GA4LandingDaily[date],"&gt;="&amp;$A41,T11GA4LandingDaily[date],"&lt;"&amp;DATE(YEAR($A41),MONTH($A41)+1,1),T11GA4LandingDaily[session_channel],"Organic Search",T11GA4LandingDaily[data_quality],"Measured"))</x:f>
      </x:c>
      <x:c r="K41" s="24" t="str">
        <x:f>IF(I41=0,"",SUMIFS(T11GA4LandingDaily[engaged_sessions],T11GA4LandingDaily[target_country],$B41,T11GA4LandingDaily[language],$C41,T11GA4LandingDaily[date],"&gt;="&amp;$A41,T11GA4LandingDaily[date],"&lt;"&amp;DATE(YEAR($A41),MONTH($A41)+1,1),T11GA4LandingDaily[session_channel],"Organic Search",T11GA4LandingDaily[data_quality],"Measured"))</x:f>
      </x:c>
      <x:c r="L41" s="28" t="str">
        <x:f>IFERROR(IF(I41=0,"",K41/J41),"")</x:f>
      </x:c>
      <x:c r="M41" s="24" t="str">
        <x:f>IF(I41=0,"",SUMIFS(T11GA4LandingDaily[key_events],T11GA4LandingDaily[target_country],$B41,T11GA4LandingDaily[language],$C41,T11GA4LandingDaily[date],"&gt;="&amp;$A41,T11GA4LandingDaily[date],"&lt;"&amp;DATE(YEAR($A41),MONTH($A41)+1,1),T11GA4LandingDaily[session_channel],"Organic Search",T11GA4LandingDaily[data_quality],"Measured"))</x:f>
      </x:c>
      <x:c r="N41" s="24" t="str">
        <x:f>IF(I41=0,"",SUMIFS(T11GA4LandingDaily[booking_starts],T11GA4LandingDaily[target_country],$B41,T11GA4LandingDaily[language],$C41,T11GA4LandingDaily[date],"&gt;="&amp;$A41,T11GA4LandingDaily[date],"&lt;"&amp;DATE(YEAR($A41),MONTH($A41)+1,1),T11GA4LandingDaily[session_channel],"Organic Search",T11GA4LandingDaily[data_quality],"Measured"))</x:f>
      </x:c>
      <x:c r="O41" s="24" t="str">
        <x:f>IF(I41=0,"",SUMIFS(T11GA4LandingDaily[purchases],T11GA4LandingDaily[target_country],$B41,T11GA4LandingDaily[language],$C41,T11GA4LandingDaily[date],"&gt;="&amp;$A41,T11GA4LandingDaily[date],"&lt;"&amp;DATE(YEAR($A41),MONTH($A41)+1,1),T11GA4LandingDaily[session_channel],"Organic Search",T11GA4LandingDaily[data_quality],"Measured"))</x:f>
      </x:c>
      <x:c r="P41" s="18" t="str">
        <x:f>IF(OR(I41=0,'25_Config'!$B$11=""),"",IF(COUNTIFS(T11GA4LandingDaily[target_country],$B41,T11GA4LandingDaily[language],$C41,T11GA4LandingDaily[date],"&gt;="&amp;$A41,T11GA4LandingDaily[date],"&lt;"&amp;DATE(YEAR($A41),MONTH($A41)+1,1),T11GA4LandingDaily[session_channel],"Organic Search",T11GA4LandingDaily[data_quality],"Measured",T11GA4LandingDaily[currency],"&lt;&gt;"&amp;'25_Config'!$B$11)&gt;0,"",SUMIFS(T11GA4LandingDaily[purchase_revenue],T11GA4LandingDaily[target_country],$B41,T11GA4LandingDaily[language],$C41,T11GA4LandingDaily[date],"&gt;="&amp;$A41,T11GA4LandingDaily[date],"&lt;"&amp;DATE(YEAR($A41),MONTH($A41)+1,1),T11GA4LandingDaily[session_channel],"Organic Search",T11GA4LandingDaily[data_quality],"Measured")))</x:f>
      </x:c>
      <x:c r="Q41" s="18" t="str">
        <x:f>IF(P41="","",'25_Config'!$B$11)</x:f>
      </x:c>
      <x:c r="R41" s="28"/>
      <x:c r="S41" s="18" t="str">
        <x:f>IF(AND(D41=0,I41=0),"Not refreshed","Check completeness, gaps and sample size")</x:f>
        <x:v>Not refreshed</x:v>
      </x:c>
    </x:row>
    <x:row r="42" ht="30" customHeight="1">
      <x:c r="A42" s="22" t="n">
        <x:v>46235</x:v>
      </x:c>
      <x:c r="B42" s="18" t="str">
        <x:v>Ireland</x:v>
      </x:c>
      <x:c r="C42" s="18" t="str">
        <x:v>cs</x:v>
      </x:c>
      <x:c r="D42" s="18" t="n">
        <x:f>COUNTIFS(T09GSCPageDaily[target_country],$B42,T09GSCPageDaily[language],$C42,T09GSCPageDaily[date],"&gt;="&amp;$A42,T09GSCPageDaily[date],"&lt;"&amp;DATE(YEAR($A42),MONTH($A42)+1,1),T09GSCPageDaily[data_state],"final")</x:f>
        <x:v>0</x:v>
      </x:c>
      <x:c r="E42" s="24" t="str">
        <x:f>IF(D42=0,"",SUMIFS(T09GSCPageDaily[clicks],T09GSCPageDaily[target_country],$B42,T09GSCPageDaily[language],$C42,T09GSCPageDaily[date],"&gt;="&amp;$A42,T09GSCPageDaily[date],"&lt;"&amp;DATE(YEAR($A42),MONTH($A42)+1,1),T09GSCPageDaily[data_state],"final"))</x:f>
      </x:c>
      <x:c r="F42" s="24" t="str">
        <x:f>IF(D42=0,"",SUMIFS(T09GSCPageDaily[impressions],T09GSCPageDaily[target_country],$B42,T09GSCPageDaily[language],$C42,T09GSCPageDaily[date],"&gt;="&amp;$A42,T09GSCPageDaily[date],"&lt;"&amp;DATE(YEAR($A42),MONTH($A42)+1,1),T09GSCPageDaily[data_state],"final"))</x:f>
      </x:c>
      <x:c r="G42" s="28" t="str">
        <x:f>IFERROR(IF(D42=0,"",E42/F42),"")</x:f>
      </x:c>
      <x:c r="H42" s="26" t="str">
        <x:f>IF(D42=0,"",IFERROR(SUMPRODUCT((T09GSCPageDaily[target_country]=$B42)*(T09GSCPageDaily[language]=$C42)*(T09GSCPageDaily[date]&gt;=$A42)*(T09GSCPageDaily[date]&lt;DATE(YEAR($A42),MONTH($A42)+1,1))*(T09GSCPageDaily[data_state]="final")*T09GSCPageDaily[avg_position]*T09GSCPageDaily[impressions])/F42,""))</x:f>
      </x:c>
      <x:c r="I42" s="18" t="n">
        <x:f>COUNTIFS(T11GA4LandingDaily[target_country],$B42,T11GA4LandingDaily[language],$C42,T11GA4LandingDaily[date],"&gt;="&amp;$A42,T11GA4LandingDaily[date],"&lt;"&amp;DATE(YEAR($A42),MONTH($A42)+1,1),T11GA4LandingDaily[session_channel],"Organic Search",T11GA4LandingDaily[data_quality],"Measured")</x:f>
        <x:v>0</x:v>
      </x:c>
      <x:c r="J42" s="18" t="str">
        <x:f>IF(I42=0,"",SUMIFS(T11GA4LandingDaily[sessions],T11GA4LandingDaily[target_country],$B42,T11GA4LandingDaily[language],$C42,T11GA4LandingDaily[date],"&gt;="&amp;$A42,T11GA4LandingDaily[date],"&lt;"&amp;DATE(YEAR($A42),MONTH($A42)+1,1),T11GA4LandingDaily[session_channel],"Organic Search",T11GA4LandingDaily[data_quality],"Measured"))</x:f>
      </x:c>
      <x:c r="K42" s="24" t="str">
        <x:f>IF(I42=0,"",SUMIFS(T11GA4LandingDaily[engaged_sessions],T11GA4LandingDaily[target_country],$B42,T11GA4LandingDaily[language],$C42,T11GA4LandingDaily[date],"&gt;="&amp;$A42,T11GA4LandingDaily[date],"&lt;"&amp;DATE(YEAR($A42),MONTH($A42)+1,1),T11GA4LandingDaily[session_channel],"Organic Search",T11GA4LandingDaily[data_quality],"Measured"))</x:f>
      </x:c>
      <x:c r="L42" s="28" t="str">
        <x:f>IFERROR(IF(I42=0,"",K42/J42),"")</x:f>
      </x:c>
      <x:c r="M42" s="24" t="str">
        <x:f>IF(I42=0,"",SUMIFS(T11GA4LandingDaily[key_events],T11GA4LandingDaily[target_country],$B42,T11GA4LandingDaily[language],$C42,T11GA4LandingDaily[date],"&gt;="&amp;$A42,T11GA4LandingDaily[date],"&lt;"&amp;DATE(YEAR($A42),MONTH($A42)+1,1),T11GA4LandingDaily[session_channel],"Organic Search",T11GA4LandingDaily[data_quality],"Measured"))</x:f>
      </x:c>
      <x:c r="N42" s="24" t="str">
        <x:f>IF(I42=0,"",SUMIFS(T11GA4LandingDaily[booking_starts],T11GA4LandingDaily[target_country],$B42,T11GA4LandingDaily[language],$C42,T11GA4LandingDaily[date],"&gt;="&amp;$A42,T11GA4LandingDaily[date],"&lt;"&amp;DATE(YEAR($A42),MONTH($A42)+1,1),T11GA4LandingDaily[session_channel],"Organic Search",T11GA4LandingDaily[data_quality],"Measured"))</x:f>
      </x:c>
      <x:c r="O42" s="24" t="str">
        <x:f>IF(I42=0,"",SUMIFS(T11GA4LandingDaily[purchases],T11GA4LandingDaily[target_country],$B42,T11GA4LandingDaily[language],$C42,T11GA4LandingDaily[date],"&gt;="&amp;$A42,T11GA4LandingDaily[date],"&lt;"&amp;DATE(YEAR($A42),MONTH($A42)+1,1),T11GA4LandingDaily[session_channel],"Organic Search",T11GA4LandingDaily[data_quality],"Measured"))</x:f>
      </x:c>
      <x:c r="P42" s="18" t="str">
        <x:f>IF(OR(I42=0,'25_Config'!$B$11=""),"",IF(COUNTIFS(T11GA4LandingDaily[target_country],$B42,T11GA4LandingDaily[language],$C42,T11GA4LandingDaily[date],"&gt;="&amp;$A42,T11GA4LandingDaily[date],"&lt;"&amp;DATE(YEAR($A42),MONTH($A42)+1,1),T11GA4LandingDaily[session_channel],"Organic Search",T11GA4LandingDaily[data_quality],"Measured",T11GA4LandingDaily[currency],"&lt;&gt;"&amp;'25_Config'!$B$11)&gt;0,"",SUMIFS(T11GA4LandingDaily[purchase_revenue],T11GA4LandingDaily[target_country],$B42,T11GA4LandingDaily[language],$C42,T11GA4LandingDaily[date],"&gt;="&amp;$A42,T11GA4LandingDaily[date],"&lt;"&amp;DATE(YEAR($A42),MONTH($A42)+1,1),T11GA4LandingDaily[session_channel],"Organic Search",T11GA4LandingDaily[data_quality],"Measured")))</x:f>
      </x:c>
      <x:c r="Q42" s="18" t="str">
        <x:f>IF(P42="","",'25_Config'!$B$11)</x:f>
      </x:c>
      <x:c r="R42" s="28"/>
      <x:c r="S42" s="18" t="str">
        <x:f>IF(AND(D42=0,I42=0),"Not refreshed","Check completeness, gaps and sample size")</x:f>
        <x:v>Not refreshed</x:v>
      </x:c>
    </x:row>
    <x:row r="43" ht="30" customHeight="1">
      <x:c r="A43" s="22" t="n">
        <x:v>46235</x:v>
      </x:c>
      <x:c r="B43" s="18" t="str">
        <x:v>Ireland</x:v>
      </x:c>
      <x:c r="C43" s="18" t="str">
        <x:v>ro</x:v>
      </x:c>
      <x:c r="D43" s="18" t="n">
        <x:f>COUNTIFS(T09GSCPageDaily[target_country],$B43,T09GSCPageDaily[language],$C43,T09GSCPageDaily[date],"&gt;="&amp;$A43,T09GSCPageDaily[date],"&lt;"&amp;DATE(YEAR($A43),MONTH($A43)+1,1),T09GSCPageDaily[data_state],"final")</x:f>
        <x:v>0</x:v>
      </x:c>
      <x:c r="E43" s="24" t="str">
        <x:f>IF(D43=0,"",SUMIFS(T09GSCPageDaily[clicks],T09GSCPageDaily[target_country],$B43,T09GSCPageDaily[language],$C43,T09GSCPageDaily[date],"&gt;="&amp;$A43,T09GSCPageDaily[date],"&lt;"&amp;DATE(YEAR($A43),MONTH($A43)+1,1),T09GSCPageDaily[data_state],"final"))</x:f>
      </x:c>
      <x:c r="F43" s="24" t="str">
        <x:f>IF(D43=0,"",SUMIFS(T09GSCPageDaily[impressions],T09GSCPageDaily[target_country],$B43,T09GSCPageDaily[language],$C43,T09GSCPageDaily[date],"&gt;="&amp;$A43,T09GSCPageDaily[date],"&lt;"&amp;DATE(YEAR($A43),MONTH($A43)+1,1),T09GSCPageDaily[data_state],"final"))</x:f>
      </x:c>
      <x:c r="G43" s="28" t="str">
        <x:f>IFERROR(IF(D43=0,"",E43/F43),"")</x:f>
      </x:c>
      <x:c r="H43" s="26" t="str">
        <x:f>IF(D43=0,"",IFERROR(SUMPRODUCT((T09GSCPageDaily[target_country]=$B43)*(T09GSCPageDaily[language]=$C43)*(T09GSCPageDaily[date]&gt;=$A43)*(T09GSCPageDaily[date]&lt;DATE(YEAR($A43),MONTH($A43)+1,1))*(T09GSCPageDaily[data_state]="final")*T09GSCPageDaily[avg_position]*T09GSCPageDaily[impressions])/F43,""))</x:f>
      </x:c>
      <x:c r="I43" s="18" t="n">
        <x:f>COUNTIFS(T11GA4LandingDaily[target_country],$B43,T11GA4LandingDaily[language],$C43,T11GA4LandingDaily[date],"&gt;="&amp;$A43,T11GA4LandingDaily[date],"&lt;"&amp;DATE(YEAR($A43),MONTH($A43)+1,1),T11GA4LandingDaily[session_channel],"Organic Search",T11GA4LandingDaily[data_quality],"Measured")</x:f>
        <x:v>0</x:v>
      </x:c>
      <x:c r="J43" s="18" t="str">
        <x:f>IF(I43=0,"",SUMIFS(T11GA4LandingDaily[sessions],T11GA4LandingDaily[target_country],$B43,T11GA4LandingDaily[language],$C43,T11GA4LandingDaily[date],"&gt;="&amp;$A43,T11GA4LandingDaily[date],"&lt;"&amp;DATE(YEAR($A43),MONTH($A43)+1,1),T11GA4LandingDaily[session_channel],"Organic Search",T11GA4LandingDaily[data_quality],"Measured"))</x:f>
      </x:c>
      <x:c r="K43" s="24" t="str">
        <x:f>IF(I43=0,"",SUMIFS(T11GA4LandingDaily[engaged_sessions],T11GA4LandingDaily[target_country],$B43,T11GA4LandingDaily[language],$C43,T11GA4LandingDaily[date],"&gt;="&amp;$A43,T11GA4LandingDaily[date],"&lt;"&amp;DATE(YEAR($A43),MONTH($A43)+1,1),T11GA4LandingDaily[session_channel],"Organic Search",T11GA4LandingDaily[data_quality],"Measured"))</x:f>
      </x:c>
      <x:c r="L43" s="28" t="str">
        <x:f>IFERROR(IF(I43=0,"",K43/J43),"")</x:f>
      </x:c>
      <x:c r="M43" s="24" t="str">
        <x:f>IF(I43=0,"",SUMIFS(T11GA4LandingDaily[key_events],T11GA4LandingDaily[target_country],$B43,T11GA4LandingDaily[language],$C43,T11GA4LandingDaily[date],"&gt;="&amp;$A43,T11GA4LandingDaily[date],"&lt;"&amp;DATE(YEAR($A43),MONTH($A43)+1,1),T11GA4LandingDaily[session_channel],"Organic Search",T11GA4LandingDaily[data_quality],"Measured"))</x:f>
      </x:c>
      <x:c r="N43" s="24" t="str">
        <x:f>IF(I43=0,"",SUMIFS(T11GA4LandingDaily[booking_starts],T11GA4LandingDaily[target_country],$B43,T11GA4LandingDaily[language],$C43,T11GA4LandingDaily[date],"&gt;="&amp;$A43,T11GA4LandingDaily[date],"&lt;"&amp;DATE(YEAR($A43),MONTH($A43)+1,1),T11GA4LandingDaily[session_channel],"Organic Search",T11GA4LandingDaily[data_quality],"Measured"))</x:f>
      </x:c>
      <x:c r="O43" s="24" t="str">
        <x:f>IF(I43=0,"",SUMIFS(T11GA4LandingDaily[purchases],T11GA4LandingDaily[target_country],$B43,T11GA4LandingDaily[language],$C43,T11GA4LandingDaily[date],"&gt;="&amp;$A43,T11GA4LandingDaily[date],"&lt;"&amp;DATE(YEAR($A43),MONTH($A43)+1,1),T11GA4LandingDaily[session_channel],"Organic Search",T11GA4LandingDaily[data_quality],"Measured"))</x:f>
      </x:c>
      <x:c r="P43" s="18" t="str">
        <x:f>IF(OR(I43=0,'25_Config'!$B$11=""),"",IF(COUNTIFS(T11GA4LandingDaily[target_country],$B43,T11GA4LandingDaily[language],$C43,T11GA4LandingDaily[date],"&gt;="&amp;$A43,T11GA4LandingDaily[date],"&lt;"&amp;DATE(YEAR($A43),MONTH($A43)+1,1),T11GA4LandingDaily[session_channel],"Organic Search",T11GA4LandingDaily[data_quality],"Measured",T11GA4LandingDaily[currency],"&lt;&gt;"&amp;'25_Config'!$B$11)&gt;0,"",SUMIFS(T11GA4LandingDaily[purchase_revenue],T11GA4LandingDaily[target_country],$B43,T11GA4LandingDaily[language],$C43,T11GA4LandingDaily[date],"&gt;="&amp;$A43,T11GA4LandingDaily[date],"&lt;"&amp;DATE(YEAR($A43),MONTH($A43)+1,1),T11GA4LandingDaily[session_channel],"Organic Search",T11GA4LandingDaily[data_quality],"Measured")))</x:f>
      </x:c>
      <x:c r="Q43" s="18" t="str">
        <x:f>IF(P43="","",'25_Config'!$B$11)</x:f>
      </x:c>
      <x:c r="R43" s="28"/>
      <x:c r="S43" s="18" t="str">
        <x:f>IF(AND(D43=0,I43=0),"Not refreshed","Check completeness, gaps and sample size")</x:f>
        <x:v>Not refreshed</x:v>
      </x:c>
    </x:row>
    <x:row r="44" ht="30" customHeight="1">
      <x:c r="A44" s="22" t="n">
        <x:v>46235</x:v>
      </x:c>
      <x:c r="B44" s="18" t="str">
        <x:v>Ireland</x:v>
      </x:c>
      <x:c r="C44" s="18" t="str">
        <x:v>de</x:v>
      </x:c>
      <x:c r="D44" s="18" t="n">
        <x:f>COUNTIFS(T09GSCPageDaily[target_country],$B44,T09GSCPageDaily[language],$C44,T09GSCPageDaily[date],"&gt;="&amp;$A44,T09GSCPageDaily[date],"&lt;"&amp;DATE(YEAR($A44),MONTH($A44)+1,1),T09GSCPageDaily[data_state],"final")</x:f>
        <x:v>0</x:v>
      </x:c>
      <x:c r="E44" s="24" t="str">
        <x:f>IF(D44=0,"",SUMIFS(T09GSCPageDaily[clicks],T09GSCPageDaily[target_country],$B44,T09GSCPageDaily[language],$C44,T09GSCPageDaily[date],"&gt;="&amp;$A44,T09GSCPageDaily[date],"&lt;"&amp;DATE(YEAR($A44),MONTH($A44)+1,1),T09GSCPageDaily[data_state],"final"))</x:f>
      </x:c>
      <x:c r="F44" s="24" t="str">
        <x:f>IF(D44=0,"",SUMIFS(T09GSCPageDaily[impressions],T09GSCPageDaily[target_country],$B44,T09GSCPageDaily[language],$C44,T09GSCPageDaily[date],"&gt;="&amp;$A44,T09GSCPageDaily[date],"&lt;"&amp;DATE(YEAR($A44),MONTH($A44)+1,1),T09GSCPageDaily[data_state],"final"))</x:f>
      </x:c>
      <x:c r="G44" s="28" t="str">
        <x:f>IFERROR(IF(D44=0,"",E44/F44),"")</x:f>
      </x:c>
      <x:c r="H44" s="26" t="str">
        <x:f>IF(D44=0,"",IFERROR(SUMPRODUCT((T09GSCPageDaily[target_country]=$B44)*(T09GSCPageDaily[language]=$C44)*(T09GSCPageDaily[date]&gt;=$A44)*(T09GSCPageDaily[date]&lt;DATE(YEAR($A44),MONTH($A44)+1,1))*(T09GSCPageDaily[data_state]="final")*T09GSCPageDaily[avg_position]*T09GSCPageDaily[impressions])/F44,""))</x:f>
      </x:c>
      <x:c r="I44" s="18" t="n">
        <x:f>COUNTIFS(T11GA4LandingDaily[target_country],$B44,T11GA4LandingDaily[language],$C44,T11GA4LandingDaily[date],"&gt;="&amp;$A44,T11GA4LandingDaily[date],"&lt;"&amp;DATE(YEAR($A44),MONTH($A44)+1,1),T11GA4LandingDaily[session_channel],"Organic Search",T11GA4LandingDaily[data_quality],"Measured")</x:f>
        <x:v>0</x:v>
      </x:c>
      <x:c r="J44" s="18" t="str">
        <x:f>IF(I44=0,"",SUMIFS(T11GA4LandingDaily[sessions],T11GA4LandingDaily[target_country],$B44,T11GA4LandingDaily[language],$C44,T11GA4LandingDaily[date],"&gt;="&amp;$A44,T11GA4LandingDaily[date],"&lt;"&amp;DATE(YEAR($A44),MONTH($A44)+1,1),T11GA4LandingDaily[session_channel],"Organic Search",T11GA4LandingDaily[data_quality],"Measured"))</x:f>
      </x:c>
      <x:c r="K44" s="24" t="str">
        <x:f>IF(I44=0,"",SUMIFS(T11GA4LandingDaily[engaged_sessions],T11GA4LandingDaily[target_country],$B44,T11GA4LandingDaily[language],$C44,T11GA4LandingDaily[date],"&gt;="&amp;$A44,T11GA4LandingDaily[date],"&lt;"&amp;DATE(YEAR($A44),MONTH($A44)+1,1),T11GA4LandingDaily[session_channel],"Organic Search",T11GA4LandingDaily[data_quality],"Measured"))</x:f>
      </x:c>
      <x:c r="L44" s="28" t="str">
        <x:f>IFERROR(IF(I44=0,"",K44/J44),"")</x:f>
      </x:c>
      <x:c r="M44" s="24" t="str">
        <x:f>IF(I44=0,"",SUMIFS(T11GA4LandingDaily[key_events],T11GA4LandingDaily[target_country],$B44,T11GA4LandingDaily[language],$C44,T11GA4LandingDaily[date],"&gt;="&amp;$A44,T11GA4LandingDaily[date],"&lt;"&amp;DATE(YEAR($A44),MONTH($A44)+1,1),T11GA4LandingDaily[session_channel],"Organic Search",T11GA4LandingDaily[data_quality],"Measured"))</x:f>
      </x:c>
      <x:c r="N44" s="24" t="str">
        <x:f>IF(I44=0,"",SUMIFS(T11GA4LandingDaily[booking_starts],T11GA4LandingDaily[target_country],$B44,T11GA4LandingDaily[language],$C44,T11GA4LandingDaily[date],"&gt;="&amp;$A44,T11GA4LandingDaily[date],"&lt;"&amp;DATE(YEAR($A44),MONTH($A44)+1,1),T11GA4LandingDaily[session_channel],"Organic Search",T11GA4LandingDaily[data_quality],"Measured"))</x:f>
      </x:c>
      <x:c r="O44" s="24" t="str">
        <x:f>IF(I44=0,"",SUMIFS(T11GA4LandingDaily[purchases],T11GA4LandingDaily[target_country],$B44,T11GA4LandingDaily[language],$C44,T11GA4LandingDaily[date],"&gt;="&amp;$A44,T11GA4LandingDaily[date],"&lt;"&amp;DATE(YEAR($A44),MONTH($A44)+1,1),T11GA4LandingDaily[session_channel],"Organic Search",T11GA4LandingDaily[data_quality],"Measured"))</x:f>
      </x:c>
      <x:c r="P44" s="18" t="str">
        <x:f>IF(OR(I44=0,'25_Config'!$B$11=""),"",IF(COUNTIFS(T11GA4LandingDaily[target_country],$B44,T11GA4LandingDaily[language],$C44,T11GA4LandingDaily[date],"&gt;="&amp;$A44,T11GA4LandingDaily[date],"&lt;"&amp;DATE(YEAR($A44),MONTH($A44)+1,1),T11GA4LandingDaily[session_channel],"Organic Search",T11GA4LandingDaily[data_quality],"Measured",T11GA4LandingDaily[currency],"&lt;&gt;"&amp;'25_Config'!$B$11)&gt;0,"",SUMIFS(T11GA4LandingDaily[purchase_revenue],T11GA4LandingDaily[target_country],$B44,T11GA4LandingDaily[language],$C44,T11GA4LandingDaily[date],"&gt;="&amp;$A44,T11GA4LandingDaily[date],"&lt;"&amp;DATE(YEAR($A44),MONTH($A44)+1,1),T11GA4LandingDaily[session_channel],"Organic Search",T11GA4LandingDaily[data_quality],"Measured")))</x:f>
      </x:c>
      <x:c r="Q44" s="18" t="str">
        <x:f>IF(P44="","",'25_Config'!$B$11)</x:f>
      </x:c>
      <x:c r="R44" s="28"/>
      <x:c r="S44" s="18" t="str">
        <x:f>IF(AND(D44=0,I44=0),"Not refreshed","Check completeness, gaps and sample size")</x:f>
        <x:v>Not refreshed</x:v>
      </x:c>
    </x:row>
    <x:row r="45" ht="30" customHeight="1">
      <x:c r="A45" s="22" t="n">
        <x:v>46235</x:v>
      </x:c>
      <x:c r="B45" s="18" t="str">
        <x:v>Czechia</x:v>
      </x:c>
      <x:c r="C45" s="18" t="str">
        <x:v>cs</x:v>
      </x:c>
      <x:c r="D45" s="18" t="n">
        <x:f>COUNTIFS(T09GSCPageDaily[target_country],$B45,T09GSCPageDaily[language],$C45,T09GSCPageDaily[date],"&gt;="&amp;$A45,T09GSCPageDaily[date],"&lt;"&amp;DATE(YEAR($A45),MONTH($A45)+1,1),T09GSCPageDaily[data_state],"final")</x:f>
        <x:v>0</x:v>
      </x:c>
      <x:c r="E45" s="24" t="str">
        <x:f>IF(D45=0,"",SUMIFS(T09GSCPageDaily[clicks],T09GSCPageDaily[target_country],$B45,T09GSCPageDaily[language],$C45,T09GSCPageDaily[date],"&gt;="&amp;$A45,T09GSCPageDaily[date],"&lt;"&amp;DATE(YEAR($A45),MONTH($A45)+1,1),T09GSCPageDaily[data_state],"final"))</x:f>
      </x:c>
      <x:c r="F45" s="24" t="str">
        <x:f>IF(D45=0,"",SUMIFS(T09GSCPageDaily[impressions],T09GSCPageDaily[target_country],$B45,T09GSCPageDaily[language],$C45,T09GSCPageDaily[date],"&gt;="&amp;$A45,T09GSCPageDaily[date],"&lt;"&amp;DATE(YEAR($A45),MONTH($A45)+1,1),T09GSCPageDaily[data_state],"final"))</x:f>
      </x:c>
      <x:c r="G45" s="28" t="str">
        <x:f>IFERROR(IF(D45=0,"",E45/F45),"")</x:f>
      </x:c>
      <x:c r="H45" s="26" t="str">
        <x:f>IF(D45=0,"",IFERROR(SUMPRODUCT((T09GSCPageDaily[target_country]=$B45)*(T09GSCPageDaily[language]=$C45)*(T09GSCPageDaily[date]&gt;=$A45)*(T09GSCPageDaily[date]&lt;DATE(YEAR($A45),MONTH($A45)+1,1))*(T09GSCPageDaily[data_state]="final")*T09GSCPageDaily[avg_position]*T09GSCPageDaily[impressions])/F45,""))</x:f>
      </x:c>
      <x:c r="I45" s="18" t="n">
        <x:f>COUNTIFS(T11GA4LandingDaily[target_country],$B45,T11GA4LandingDaily[language],$C45,T11GA4LandingDaily[date],"&gt;="&amp;$A45,T11GA4LandingDaily[date],"&lt;"&amp;DATE(YEAR($A45),MONTH($A45)+1,1),T11GA4LandingDaily[session_channel],"Organic Search",T11GA4LandingDaily[data_quality],"Measured")</x:f>
        <x:v>0</x:v>
      </x:c>
      <x:c r="J45" s="18" t="str">
        <x:f>IF(I45=0,"",SUMIFS(T11GA4LandingDaily[sessions],T11GA4LandingDaily[target_country],$B45,T11GA4LandingDaily[language],$C45,T11GA4LandingDaily[date],"&gt;="&amp;$A45,T11GA4LandingDaily[date],"&lt;"&amp;DATE(YEAR($A45),MONTH($A45)+1,1),T11GA4LandingDaily[session_channel],"Organic Search",T11GA4LandingDaily[data_quality],"Measured"))</x:f>
      </x:c>
      <x:c r="K45" s="24" t="str">
        <x:f>IF(I45=0,"",SUMIFS(T11GA4LandingDaily[engaged_sessions],T11GA4LandingDaily[target_country],$B45,T11GA4LandingDaily[language],$C45,T11GA4LandingDaily[date],"&gt;="&amp;$A45,T11GA4LandingDaily[date],"&lt;"&amp;DATE(YEAR($A45),MONTH($A45)+1,1),T11GA4LandingDaily[session_channel],"Organic Search",T11GA4LandingDaily[data_quality],"Measured"))</x:f>
      </x:c>
      <x:c r="L45" s="28" t="str">
        <x:f>IFERROR(IF(I45=0,"",K45/J45),"")</x:f>
      </x:c>
      <x:c r="M45" s="24" t="str">
        <x:f>IF(I45=0,"",SUMIFS(T11GA4LandingDaily[key_events],T11GA4LandingDaily[target_country],$B45,T11GA4LandingDaily[language],$C45,T11GA4LandingDaily[date],"&gt;="&amp;$A45,T11GA4LandingDaily[date],"&lt;"&amp;DATE(YEAR($A45),MONTH($A45)+1,1),T11GA4LandingDaily[session_channel],"Organic Search",T11GA4LandingDaily[data_quality],"Measured"))</x:f>
      </x:c>
      <x:c r="N45" s="24" t="str">
        <x:f>IF(I45=0,"",SUMIFS(T11GA4LandingDaily[booking_starts],T11GA4LandingDaily[target_country],$B45,T11GA4LandingDaily[language],$C45,T11GA4LandingDaily[date],"&gt;="&amp;$A45,T11GA4LandingDaily[date],"&lt;"&amp;DATE(YEAR($A45),MONTH($A45)+1,1),T11GA4LandingDaily[session_channel],"Organic Search",T11GA4LandingDaily[data_quality],"Measured"))</x:f>
      </x:c>
      <x:c r="O45" s="24" t="str">
        <x:f>IF(I45=0,"",SUMIFS(T11GA4LandingDaily[purchases],T11GA4LandingDaily[target_country],$B45,T11GA4LandingDaily[language],$C45,T11GA4LandingDaily[date],"&gt;="&amp;$A45,T11GA4LandingDaily[date],"&lt;"&amp;DATE(YEAR($A45),MONTH($A45)+1,1),T11GA4LandingDaily[session_channel],"Organic Search",T11GA4LandingDaily[data_quality],"Measured"))</x:f>
      </x:c>
      <x:c r="P45" s="18" t="str">
        <x:f>IF(OR(I45=0,'25_Config'!$B$11=""),"",IF(COUNTIFS(T11GA4LandingDaily[target_country],$B45,T11GA4LandingDaily[language],$C45,T11GA4LandingDaily[date],"&gt;="&amp;$A45,T11GA4LandingDaily[date],"&lt;"&amp;DATE(YEAR($A45),MONTH($A45)+1,1),T11GA4LandingDaily[session_channel],"Organic Search",T11GA4LandingDaily[data_quality],"Measured",T11GA4LandingDaily[currency],"&lt;&gt;"&amp;'25_Config'!$B$11)&gt;0,"",SUMIFS(T11GA4LandingDaily[purchase_revenue],T11GA4LandingDaily[target_country],$B45,T11GA4LandingDaily[language],$C45,T11GA4LandingDaily[date],"&gt;="&amp;$A45,T11GA4LandingDaily[date],"&lt;"&amp;DATE(YEAR($A45),MONTH($A45)+1,1),T11GA4LandingDaily[session_channel],"Organic Search",T11GA4LandingDaily[data_quality],"Measured")))</x:f>
      </x:c>
      <x:c r="Q45" s="18" t="str">
        <x:f>IF(P45="","",'25_Config'!$B$11)</x:f>
      </x:c>
      <x:c r="R45" s="28"/>
      <x:c r="S45" s="18" t="str">
        <x:f>IF(AND(D45=0,I45=0),"Not refreshed","Check completeness, gaps and sample size")</x:f>
        <x:v>Not refreshed</x:v>
      </x:c>
    </x:row>
    <x:row r="46" ht="30" customHeight="1">
      <x:c r="A46" s="22" t="n">
        <x:v>46235</x:v>
      </x:c>
      <x:c r="B46" s="18" t="str">
        <x:v>Czechia</x:v>
      </x:c>
      <x:c r="C46" s="18" t="str">
        <x:v>en</x:v>
      </x:c>
      <x:c r="D46" s="18" t="n">
        <x:f>COUNTIFS(T09GSCPageDaily[target_country],$B46,T09GSCPageDaily[language],$C46,T09GSCPageDaily[date],"&gt;="&amp;$A46,T09GSCPageDaily[date],"&lt;"&amp;DATE(YEAR($A46),MONTH($A46)+1,1),T09GSCPageDaily[data_state],"final")</x:f>
        <x:v>0</x:v>
      </x:c>
      <x:c r="E46" s="24" t="str">
        <x:f>IF(D46=0,"",SUMIFS(T09GSCPageDaily[clicks],T09GSCPageDaily[target_country],$B46,T09GSCPageDaily[language],$C46,T09GSCPageDaily[date],"&gt;="&amp;$A46,T09GSCPageDaily[date],"&lt;"&amp;DATE(YEAR($A46),MONTH($A46)+1,1),T09GSCPageDaily[data_state],"final"))</x:f>
      </x:c>
      <x:c r="F46" s="24" t="str">
        <x:f>IF(D46=0,"",SUMIFS(T09GSCPageDaily[impressions],T09GSCPageDaily[target_country],$B46,T09GSCPageDaily[language],$C46,T09GSCPageDaily[date],"&gt;="&amp;$A46,T09GSCPageDaily[date],"&lt;"&amp;DATE(YEAR($A46),MONTH($A46)+1,1),T09GSCPageDaily[data_state],"final"))</x:f>
      </x:c>
      <x:c r="G46" s="28" t="str">
        <x:f>IFERROR(IF(D46=0,"",E46/F46),"")</x:f>
      </x:c>
      <x:c r="H46" s="26" t="str">
        <x:f>IF(D46=0,"",IFERROR(SUMPRODUCT((T09GSCPageDaily[target_country]=$B46)*(T09GSCPageDaily[language]=$C46)*(T09GSCPageDaily[date]&gt;=$A46)*(T09GSCPageDaily[date]&lt;DATE(YEAR($A46),MONTH($A46)+1,1))*(T09GSCPageDaily[data_state]="final")*T09GSCPageDaily[avg_position]*T09GSCPageDaily[impressions])/F46,""))</x:f>
      </x:c>
      <x:c r="I46" s="18" t="n">
        <x:f>COUNTIFS(T11GA4LandingDaily[target_country],$B46,T11GA4LandingDaily[language],$C46,T11GA4LandingDaily[date],"&gt;="&amp;$A46,T11GA4LandingDaily[date],"&lt;"&amp;DATE(YEAR($A46),MONTH($A46)+1,1),T11GA4LandingDaily[session_channel],"Organic Search",T11GA4LandingDaily[data_quality],"Measured")</x:f>
        <x:v>0</x:v>
      </x:c>
      <x:c r="J46" s="18" t="str">
        <x:f>IF(I46=0,"",SUMIFS(T11GA4LandingDaily[sessions],T11GA4LandingDaily[target_country],$B46,T11GA4LandingDaily[language],$C46,T11GA4LandingDaily[date],"&gt;="&amp;$A46,T11GA4LandingDaily[date],"&lt;"&amp;DATE(YEAR($A46),MONTH($A46)+1,1),T11GA4LandingDaily[session_channel],"Organic Search",T11GA4LandingDaily[data_quality],"Measured"))</x:f>
      </x:c>
      <x:c r="K46" s="24" t="str">
        <x:f>IF(I46=0,"",SUMIFS(T11GA4LandingDaily[engaged_sessions],T11GA4LandingDaily[target_country],$B46,T11GA4LandingDaily[language],$C46,T11GA4LandingDaily[date],"&gt;="&amp;$A46,T11GA4LandingDaily[date],"&lt;"&amp;DATE(YEAR($A46),MONTH($A46)+1,1),T11GA4LandingDaily[session_channel],"Organic Search",T11GA4LandingDaily[data_quality],"Measured"))</x:f>
      </x:c>
      <x:c r="L46" s="28" t="str">
        <x:f>IFERROR(IF(I46=0,"",K46/J46),"")</x:f>
      </x:c>
      <x:c r="M46" s="24" t="str">
        <x:f>IF(I46=0,"",SUMIFS(T11GA4LandingDaily[key_events],T11GA4LandingDaily[target_country],$B46,T11GA4LandingDaily[language],$C46,T11GA4LandingDaily[date],"&gt;="&amp;$A46,T11GA4LandingDaily[date],"&lt;"&amp;DATE(YEAR($A46),MONTH($A46)+1,1),T11GA4LandingDaily[session_channel],"Organic Search",T11GA4LandingDaily[data_quality],"Measured"))</x:f>
      </x:c>
      <x:c r="N46" s="24" t="str">
        <x:f>IF(I46=0,"",SUMIFS(T11GA4LandingDaily[booking_starts],T11GA4LandingDaily[target_country],$B46,T11GA4LandingDaily[language],$C46,T11GA4LandingDaily[date],"&gt;="&amp;$A46,T11GA4LandingDaily[date],"&lt;"&amp;DATE(YEAR($A46),MONTH($A46)+1,1),T11GA4LandingDaily[session_channel],"Organic Search",T11GA4LandingDaily[data_quality],"Measured"))</x:f>
      </x:c>
      <x:c r="O46" s="24" t="str">
        <x:f>IF(I46=0,"",SUMIFS(T11GA4LandingDaily[purchases],T11GA4LandingDaily[target_country],$B46,T11GA4LandingDaily[language],$C46,T11GA4LandingDaily[date],"&gt;="&amp;$A46,T11GA4LandingDaily[date],"&lt;"&amp;DATE(YEAR($A46),MONTH($A46)+1,1),T11GA4LandingDaily[session_channel],"Organic Search",T11GA4LandingDaily[data_quality],"Measured"))</x:f>
      </x:c>
      <x:c r="P46" s="18" t="str">
        <x:f>IF(OR(I46=0,'25_Config'!$B$11=""),"",IF(COUNTIFS(T11GA4LandingDaily[target_country],$B46,T11GA4LandingDaily[language],$C46,T11GA4LandingDaily[date],"&gt;="&amp;$A46,T11GA4LandingDaily[date],"&lt;"&amp;DATE(YEAR($A46),MONTH($A46)+1,1),T11GA4LandingDaily[session_channel],"Organic Search",T11GA4LandingDaily[data_quality],"Measured",T11GA4LandingDaily[currency],"&lt;&gt;"&amp;'25_Config'!$B$11)&gt;0,"",SUMIFS(T11GA4LandingDaily[purchase_revenue],T11GA4LandingDaily[target_country],$B46,T11GA4LandingDaily[language],$C46,T11GA4LandingDaily[date],"&gt;="&amp;$A46,T11GA4LandingDaily[date],"&lt;"&amp;DATE(YEAR($A46),MONTH($A46)+1,1),T11GA4LandingDaily[session_channel],"Organic Search",T11GA4LandingDaily[data_quality],"Measured")))</x:f>
      </x:c>
      <x:c r="Q46" s="18" t="str">
        <x:f>IF(P46="","",'25_Config'!$B$11)</x:f>
      </x:c>
      <x:c r="R46" s="28"/>
      <x:c r="S46" s="18" t="str">
        <x:f>IF(AND(D46=0,I46=0),"Not refreshed","Check completeness, gaps and sample size")</x:f>
        <x:v>Not refreshed</x:v>
      </x:c>
    </x:row>
    <x:row r="47" ht="30" customHeight="1">
      <x:c r="A47" s="22" t="n">
        <x:v>46235</x:v>
      </x:c>
      <x:c r="B47" s="18" t="str">
        <x:v>Czechia</x:v>
      </x:c>
      <x:c r="C47" s="18" t="str">
        <x:v>pt</x:v>
      </x:c>
      <x:c r="D47" s="18" t="n">
        <x:f>COUNTIFS(T09GSCPageDaily[target_country],$B47,T09GSCPageDaily[language],$C47,T09GSCPageDaily[date],"&gt;="&amp;$A47,T09GSCPageDaily[date],"&lt;"&amp;DATE(YEAR($A47),MONTH($A47)+1,1),T09GSCPageDaily[data_state],"final")</x:f>
        <x:v>0</x:v>
      </x:c>
      <x:c r="E47" s="24" t="str">
        <x:f>IF(D47=0,"",SUMIFS(T09GSCPageDaily[clicks],T09GSCPageDaily[target_country],$B47,T09GSCPageDaily[language],$C47,T09GSCPageDaily[date],"&gt;="&amp;$A47,T09GSCPageDaily[date],"&lt;"&amp;DATE(YEAR($A47),MONTH($A47)+1,1),T09GSCPageDaily[data_state],"final"))</x:f>
      </x:c>
      <x:c r="F47" s="24" t="str">
        <x:f>IF(D47=0,"",SUMIFS(T09GSCPageDaily[impressions],T09GSCPageDaily[target_country],$B47,T09GSCPageDaily[language],$C47,T09GSCPageDaily[date],"&gt;="&amp;$A47,T09GSCPageDaily[date],"&lt;"&amp;DATE(YEAR($A47),MONTH($A47)+1,1),T09GSCPageDaily[data_state],"final"))</x:f>
      </x:c>
      <x:c r="G47" s="28" t="str">
        <x:f>IFERROR(IF(D47=0,"",E47/F47),"")</x:f>
      </x:c>
      <x:c r="H47" s="26" t="str">
        <x:f>IF(D47=0,"",IFERROR(SUMPRODUCT((T09GSCPageDaily[target_country]=$B47)*(T09GSCPageDaily[language]=$C47)*(T09GSCPageDaily[date]&gt;=$A47)*(T09GSCPageDaily[date]&lt;DATE(YEAR($A47),MONTH($A47)+1,1))*(T09GSCPageDaily[data_state]="final")*T09GSCPageDaily[avg_position]*T09GSCPageDaily[impressions])/F47,""))</x:f>
      </x:c>
      <x:c r="I47" s="18" t="n">
        <x:f>COUNTIFS(T11GA4LandingDaily[target_country],$B47,T11GA4LandingDaily[language],$C47,T11GA4LandingDaily[date],"&gt;="&amp;$A47,T11GA4LandingDaily[date],"&lt;"&amp;DATE(YEAR($A47),MONTH($A47)+1,1),T11GA4LandingDaily[session_channel],"Organic Search",T11GA4LandingDaily[data_quality],"Measured")</x:f>
        <x:v>0</x:v>
      </x:c>
      <x:c r="J47" s="18" t="str">
        <x:f>IF(I47=0,"",SUMIFS(T11GA4LandingDaily[sessions],T11GA4LandingDaily[target_country],$B47,T11GA4LandingDaily[language],$C47,T11GA4LandingDaily[date],"&gt;="&amp;$A47,T11GA4LandingDaily[date],"&lt;"&amp;DATE(YEAR($A47),MONTH($A47)+1,1),T11GA4LandingDaily[session_channel],"Organic Search",T11GA4LandingDaily[data_quality],"Measured"))</x:f>
      </x:c>
      <x:c r="K47" s="24" t="str">
        <x:f>IF(I47=0,"",SUMIFS(T11GA4LandingDaily[engaged_sessions],T11GA4LandingDaily[target_country],$B47,T11GA4LandingDaily[language],$C47,T11GA4LandingDaily[date],"&gt;="&amp;$A47,T11GA4LandingDaily[date],"&lt;"&amp;DATE(YEAR($A47),MONTH($A47)+1,1),T11GA4LandingDaily[session_channel],"Organic Search",T11GA4LandingDaily[data_quality],"Measured"))</x:f>
      </x:c>
      <x:c r="L47" s="28" t="str">
        <x:f>IFERROR(IF(I47=0,"",K47/J47),"")</x:f>
      </x:c>
      <x:c r="M47" s="24" t="str">
        <x:f>IF(I47=0,"",SUMIFS(T11GA4LandingDaily[key_events],T11GA4LandingDaily[target_country],$B47,T11GA4LandingDaily[language],$C47,T11GA4LandingDaily[date],"&gt;="&amp;$A47,T11GA4LandingDaily[date],"&lt;"&amp;DATE(YEAR($A47),MONTH($A47)+1,1),T11GA4LandingDaily[session_channel],"Organic Search",T11GA4LandingDaily[data_quality],"Measured"))</x:f>
      </x:c>
      <x:c r="N47" s="24" t="str">
        <x:f>IF(I47=0,"",SUMIFS(T11GA4LandingDaily[booking_starts],T11GA4LandingDaily[target_country],$B47,T11GA4LandingDaily[language],$C47,T11GA4LandingDaily[date],"&gt;="&amp;$A47,T11GA4LandingDaily[date],"&lt;"&amp;DATE(YEAR($A47),MONTH($A47)+1,1),T11GA4LandingDaily[session_channel],"Organic Search",T11GA4LandingDaily[data_quality],"Measured"))</x:f>
      </x:c>
      <x:c r="O47" s="24" t="str">
        <x:f>IF(I47=0,"",SUMIFS(T11GA4LandingDaily[purchases],T11GA4LandingDaily[target_country],$B47,T11GA4LandingDaily[language],$C47,T11GA4LandingDaily[date],"&gt;="&amp;$A47,T11GA4LandingDaily[date],"&lt;"&amp;DATE(YEAR($A47),MONTH($A47)+1,1),T11GA4LandingDaily[session_channel],"Organic Search",T11GA4LandingDaily[data_quality],"Measured"))</x:f>
      </x:c>
      <x:c r="P47" s="18" t="str">
        <x:f>IF(OR(I47=0,'25_Config'!$B$11=""),"",IF(COUNTIFS(T11GA4LandingDaily[target_country],$B47,T11GA4LandingDaily[language],$C47,T11GA4LandingDaily[date],"&gt;="&amp;$A47,T11GA4LandingDaily[date],"&lt;"&amp;DATE(YEAR($A47),MONTH($A47)+1,1),T11GA4LandingDaily[session_channel],"Organic Search",T11GA4LandingDaily[data_quality],"Measured",T11GA4LandingDaily[currency],"&lt;&gt;"&amp;'25_Config'!$B$11)&gt;0,"",SUMIFS(T11GA4LandingDaily[purchase_revenue],T11GA4LandingDaily[target_country],$B47,T11GA4LandingDaily[language],$C47,T11GA4LandingDaily[date],"&gt;="&amp;$A47,T11GA4LandingDaily[date],"&lt;"&amp;DATE(YEAR($A47),MONTH($A47)+1,1),T11GA4LandingDaily[session_channel],"Organic Search",T11GA4LandingDaily[data_quality],"Measured")))</x:f>
      </x:c>
      <x:c r="Q47" s="18" t="str">
        <x:f>IF(P47="","",'25_Config'!$B$11)</x:f>
      </x:c>
      <x:c r="R47" s="28"/>
      <x:c r="S47" s="18" t="str">
        <x:f>IF(AND(D47=0,I47=0),"Not refreshed","Check completeness, gaps and sample size")</x:f>
        <x:v>Not refreshed</x:v>
      </x:c>
    </x:row>
    <x:row r="48" ht="30" customHeight="1">
      <x:c r="A48" s="22" t="n">
        <x:v>46235</x:v>
      </x:c>
      <x:c r="B48" s="18" t="str">
        <x:v>Czechia</x:v>
      </x:c>
      <x:c r="C48" s="18" t="str">
        <x:v>es</x:v>
      </x:c>
      <x:c r="D48" s="18" t="n">
        <x:f>COUNTIFS(T09GSCPageDaily[target_country],$B48,T09GSCPageDaily[language],$C48,T09GSCPageDaily[date],"&gt;="&amp;$A48,T09GSCPageDaily[date],"&lt;"&amp;DATE(YEAR($A48),MONTH($A48)+1,1),T09GSCPageDaily[data_state],"final")</x:f>
        <x:v>0</x:v>
      </x:c>
      <x:c r="E48" s="24" t="str">
        <x:f>IF(D48=0,"",SUMIFS(T09GSCPageDaily[clicks],T09GSCPageDaily[target_country],$B48,T09GSCPageDaily[language],$C48,T09GSCPageDaily[date],"&gt;="&amp;$A48,T09GSCPageDaily[date],"&lt;"&amp;DATE(YEAR($A48),MONTH($A48)+1,1),T09GSCPageDaily[data_state],"final"))</x:f>
      </x:c>
      <x:c r="F48" s="24" t="str">
        <x:f>IF(D48=0,"",SUMIFS(T09GSCPageDaily[impressions],T09GSCPageDaily[target_country],$B48,T09GSCPageDaily[language],$C48,T09GSCPageDaily[date],"&gt;="&amp;$A48,T09GSCPageDaily[date],"&lt;"&amp;DATE(YEAR($A48),MONTH($A48)+1,1),T09GSCPageDaily[data_state],"final"))</x:f>
      </x:c>
      <x:c r="G48" s="28" t="str">
        <x:f>IFERROR(IF(D48=0,"",E48/F48),"")</x:f>
      </x:c>
      <x:c r="H48" s="26" t="str">
        <x:f>IF(D48=0,"",IFERROR(SUMPRODUCT((T09GSCPageDaily[target_country]=$B48)*(T09GSCPageDaily[language]=$C48)*(T09GSCPageDaily[date]&gt;=$A48)*(T09GSCPageDaily[date]&lt;DATE(YEAR($A48),MONTH($A48)+1,1))*(T09GSCPageDaily[data_state]="final")*T09GSCPageDaily[avg_position]*T09GSCPageDaily[impressions])/F48,""))</x:f>
      </x:c>
      <x:c r="I48" s="18" t="n">
        <x:f>COUNTIFS(T11GA4LandingDaily[target_country],$B48,T11GA4LandingDaily[language],$C48,T11GA4LandingDaily[date],"&gt;="&amp;$A48,T11GA4LandingDaily[date],"&lt;"&amp;DATE(YEAR($A48),MONTH($A48)+1,1),T11GA4LandingDaily[session_channel],"Organic Search",T11GA4LandingDaily[data_quality],"Measured")</x:f>
        <x:v>0</x:v>
      </x:c>
      <x:c r="J48" s="18" t="str">
        <x:f>IF(I48=0,"",SUMIFS(T11GA4LandingDaily[sessions],T11GA4LandingDaily[target_country],$B48,T11GA4LandingDaily[language],$C48,T11GA4LandingDaily[date],"&gt;="&amp;$A48,T11GA4LandingDaily[date],"&lt;"&amp;DATE(YEAR($A48),MONTH($A48)+1,1),T11GA4LandingDaily[session_channel],"Organic Search",T11GA4LandingDaily[data_quality],"Measured"))</x:f>
      </x:c>
      <x:c r="K48" s="24" t="str">
        <x:f>IF(I48=0,"",SUMIFS(T11GA4LandingDaily[engaged_sessions],T11GA4LandingDaily[target_country],$B48,T11GA4LandingDaily[language],$C48,T11GA4LandingDaily[date],"&gt;="&amp;$A48,T11GA4LandingDaily[date],"&lt;"&amp;DATE(YEAR($A48),MONTH($A48)+1,1),T11GA4LandingDaily[session_channel],"Organic Search",T11GA4LandingDaily[data_quality],"Measured"))</x:f>
      </x:c>
      <x:c r="L48" s="28" t="str">
        <x:f>IFERROR(IF(I48=0,"",K48/J48),"")</x:f>
      </x:c>
      <x:c r="M48" s="24" t="str">
        <x:f>IF(I48=0,"",SUMIFS(T11GA4LandingDaily[key_events],T11GA4LandingDaily[target_country],$B48,T11GA4LandingDaily[language],$C48,T11GA4LandingDaily[date],"&gt;="&amp;$A48,T11GA4LandingDaily[date],"&lt;"&amp;DATE(YEAR($A48),MONTH($A48)+1,1),T11GA4LandingDaily[session_channel],"Organic Search",T11GA4LandingDaily[data_quality],"Measured"))</x:f>
      </x:c>
      <x:c r="N48" s="24" t="str">
        <x:f>IF(I48=0,"",SUMIFS(T11GA4LandingDaily[booking_starts],T11GA4LandingDaily[target_country],$B48,T11GA4LandingDaily[language],$C48,T11GA4LandingDaily[date],"&gt;="&amp;$A48,T11GA4LandingDaily[date],"&lt;"&amp;DATE(YEAR($A48),MONTH($A48)+1,1),T11GA4LandingDaily[session_channel],"Organic Search",T11GA4LandingDaily[data_quality],"Measured"))</x:f>
      </x:c>
      <x:c r="O48" s="24" t="str">
        <x:f>IF(I48=0,"",SUMIFS(T11GA4LandingDaily[purchases],T11GA4LandingDaily[target_country],$B48,T11GA4LandingDaily[language],$C48,T11GA4LandingDaily[date],"&gt;="&amp;$A48,T11GA4LandingDaily[date],"&lt;"&amp;DATE(YEAR($A48),MONTH($A48)+1,1),T11GA4LandingDaily[session_channel],"Organic Search",T11GA4LandingDaily[data_quality],"Measured"))</x:f>
      </x:c>
      <x:c r="P48" s="18" t="str">
        <x:f>IF(OR(I48=0,'25_Config'!$B$11=""),"",IF(COUNTIFS(T11GA4LandingDaily[target_country],$B48,T11GA4LandingDaily[language],$C48,T11GA4LandingDaily[date],"&gt;="&amp;$A48,T11GA4LandingDaily[date],"&lt;"&amp;DATE(YEAR($A48),MONTH($A48)+1,1),T11GA4LandingDaily[session_channel],"Organic Search",T11GA4LandingDaily[data_quality],"Measured",T11GA4LandingDaily[currency],"&lt;&gt;"&amp;'25_Config'!$B$11)&gt;0,"",SUMIFS(T11GA4LandingDaily[purchase_revenue],T11GA4LandingDaily[target_country],$B48,T11GA4LandingDaily[language],$C48,T11GA4LandingDaily[date],"&gt;="&amp;$A48,T11GA4LandingDaily[date],"&lt;"&amp;DATE(YEAR($A48),MONTH($A48)+1,1),T11GA4LandingDaily[session_channel],"Organic Search",T11GA4LandingDaily[data_quality],"Measured")))</x:f>
      </x:c>
      <x:c r="Q48" s="18" t="str">
        <x:f>IF(P48="","",'25_Config'!$B$11)</x:f>
      </x:c>
      <x:c r="R48" s="28"/>
      <x:c r="S48" s="18" t="str">
        <x:f>IF(AND(D48=0,I48=0),"Not refreshed","Check completeness, gaps and sample size")</x:f>
        <x:v>Not refreshed</x:v>
      </x:c>
    </x:row>
    <x:row r="49" ht="30" customHeight="1">
      <x:c r="A49" s="22" t="n">
        <x:v>46235</x:v>
      </x:c>
      <x:c r="B49" s="18" t="str">
        <x:v>Czechia</x:v>
      </x:c>
      <x:c r="C49" s="18" t="str">
        <x:v>ro</x:v>
      </x:c>
      <x:c r="D49" s="18" t="n">
        <x:f>COUNTIFS(T09GSCPageDaily[target_country],$B49,T09GSCPageDaily[language],$C49,T09GSCPageDaily[date],"&gt;="&amp;$A49,T09GSCPageDaily[date],"&lt;"&amp;DATE(YEAR($A49),MONTH($A49)+1,1),T09GSCPageDaily[data_state],"final")</x:f>
        <x:v>0</x:v>
      </x:c>
      <x:c r="E49" s="24" t="str">
        <x:f>IF(D49=0,"",SUMIFS(T09GSCPageDaily[clicks],T09GSCPageDaily[target_country],$B49,T09GSCPageDaily[language],$C49,T09GSCPageDaily[date],"&gt;="&amp;$A49,T09GSCPageDaily[date],"&lt;"&amp;DATE(YEAR($A49),MONTH($A49)+1,1),T09GSCPageDaily[data_state],"final"))</x:f>
      </x:c>
      <x:c r="F49" s="24" t="str">
        <x:f>IF(D49=0,"",SUMIFS(T09GSCPageDaily[impressions],T09GSCPageDaily[target_country],$B49,T09GSCPageDaily[language],$C49,T09GSCPageDaily[date],"&gt;="&amp;$A49,T09GSCPageDaily[date],"&lt;"&amp;DATE(YEAR($A49),MONTH($A49)+1,1),T09GSCPageDaily[data_state],"final"))</x:f>
      </x:c>
      <x:c r="G49" s="28" t="str">
        <x:f>IFERROR(IF(D49=0,"",E49/F49),"")</x:f>
      </x:c>
      <x:c r="H49" s="26" t="str">
        <x:f>IF(D49=0,"",IFERROR(SUMPRODUCT((T09GSCPageDaily[target_country]=$B49)*(T09GSCPageDaily[language]=$C49)*(T09GSCPageDaily[date]&gt;=$A49)*(T09GSCPageDaily[date]&lt;DATE(YEAR($A49),MONTH($A49)+1,1))*(T09GSCPageDaily[data_state]="final")*T09GSCPageDaily[avg_position]*T09GSCPageDaily[impressions])/F49,""))</x:f>
      </x:c>
      <x:c r="I49" s="18" t="n">
        <x:f>COUNTIFS(T11GA4LandingDaily[target_country],$B49,T11GA4LandingDaily[language],$C49,T11GA4LandingDaily[date],"&gt;="&amp;$A49,T11GA4LandingDaily[date],"&lt;"&amp;DATE(YEAR($A49),MONTH($A49)+1,1),T11GA4LandingDaily[session_channel],"Organic Search",T11GA4LandingDaily[data_quality],"Measured")</x:f>
        <x:v>0</x:v>
      </x:c>
      <x:c r="J49" s="18" t="str">
        <x:f>IF(I49=0,"",SUMIFS(T11GA4LandingDaily[sessions],T11GA4LandingDaily[target_country],$B49,T11GA4LandingDaily[language],$C49,T11GA4LandingDaily[date],"&gt;="&amp;$A49,T11GA4LandingDaily[date],"&lt;"&amp;DATE(YEAR($A49),MONTH($A49)+1,1),T11GA4LandingDaily[session_channel],"Organic Search",T11GA4LandingDaily[data_quality],"Measured"))</x:f>
      </x:c>
      <x:c r="K49" s="24" t="str">
        <x:f>IF(I49=0,"",SUMIFS(T11GA4LandingDaily[engaged_sessions],T11GA4LandingDaily[target_country],$B49,T11GA4LandingDaily[language],$C49,T11GA4LandingDaily[date],"&gt;="&amp;$A49,T11GA4LandingDaily[date],"&lt;"&amp;DATE(YEAR($A49),MONTH($A49)+1,1),T11GA4LandingDaily[session_channel],"Organic Search",T11GA4LandingDaily[data_quality],"Measured"))</x:f>
      </x:c>
      <x:c r="L49" s="28" t="str">
        <x:f>IFERROR(IF(I49=0,"",K49/J49),"")</x:f>
      </x:c>
      <x:c r="M49" s="24" t="str">
        <x:f>IF(I49=0,"",SUMIFS(T11GA4LandingDaily[key_events],T11GA4LandingDaily[target_country],$B49,T11GA4LandingDaily[language],$C49,T11GA4LandingDaily[date],"&gt;="&amp;$A49,T11GA4LandingDaily[date],"&lt;"&amp;DATE(YEAR($A49),MONTH($A49)+1,1),T11GA4LandingDaily[session_channel],"Organic Search",T11GA4LandingDaily[data_quality],"Measured"))</x:f>
      </x:c>
      <x:c r="N49" s="24" t="str">
        <x:f>IF(I49=0,"",SUMIFS(T11GA4LandingDaily[booking_starts],T11GA4LandingDaily[target_country],$B49,T11GA4LandingDaily[language],$C49,T11GA4LandingDaily[date],"&gt;="&amp;$A49,T11GA4LandingDaily[date],"&lt;"&amp;DATE(YEAR($A49),MONTH($A49)+1,1),T11GA4LandingDaily[session_channel],"Organic Search",T11GA4LandingDaily[data_quality],"Measured"))</x:f>
      </x:c>
      <x:c r="O49" s="24" t="str">
        <x:f>IF(I49=0,"",SUMIFS(T11GA4LandingDaily[purchases],T11GA4LandingDaily[target_country],$B49,T11GA4LandingDaily[language],$C49,T11GA4LandingDaily[date],"&gt;="&amp;$A49,T11GA4LandingDaily[date],"&lt;"&amp;DATE(YEAR($A49),MONTH($A49)+1,1),T11GA4LandingDaily[session_channel],"Organic Search",T11GA4LandingDaily[data_quality],"Measured"))</x:f>
      </x:c>
      <x:c r="P49" s="18" t="str">
        <x:f>IF(OR(I49=0,'25_Config'!$B$11=""),"",IF(COUNTIFS(T11GA4LandingDaily[target_country],$B49,T11GA4LandingDaily[language],$C49,T11GA4LandingDaily[date],"&gt;="&amp;$A49,T11GA4LandingDaily[date],"&lt;"&amp;DATE(YEAR($A49),MONTH($A49)+1,1),T11GA4LandingDaily[session_channel],"Organic Search",T11GA4LandingDaily[data_quality],"Measured",T11GA4LandingDaily[currency],"&lt;&gt;"&amp;'25_Config'!$B$11)&gt;0,"",SUMIFS(T11GA4LandingDaily[purchase_revenue],T11GA4LandingDaily[target_country],$B49,T11GA4LandingDaily[language],$C49,T11GA4LandingDaily[date],"&gt;="&amp;$A49,T11GA4LandingDaily[date],"&lt;"&amp;DATE(YEAR($A49),MONTH($A49)+1,1),T11GA4LandingDaily[session_channel],"Organic Search",T11GA4LandingDaily[data_quality],"Measured")))</x:f>
      </x:c>
      <x:c r="Q49" s="18" t="str">
        <x:f>IF(P49="","",'25_Config'!$B$11)</x:f>
      </x:c>
      <x:c r="R49" s="28"/>
      <x:c r="S49" s="18" t="str">
        <x:f>IF(AND(D49=0,I49=0),"Not refreshed","Check completeness, gaps and sample size")</x:f>
        <x:v>Not refreshed</x:v>
      </x:c>
    </x:row>
    <x:row r="50" ht="30" customHeight="1">
      <x:c r="A50" s="22" t="n">
        <x:v>46235</x:v>
      </x:c>
      <x:c r="B50" s="18" t="str">
        <x:v>Czechia</x:v>
      </x:c>
      <x:c r="C50" s="18" t="str">
        <x:v>de</x:v>
      </x:c>
      <x:c r="D50" s="18" t="n">
        <x:f>COUNTIFS(T09GSCPageDaily[target_country],$B50,T09GSCPageDaily[language],$C50,T09GSCPageDaily[date],"&gt;="&amp;$A50,T09GSCPageDaily[date],"&lt;"&amp;DATE(YEAR($A50),MONTH($A50)+1,1),T09GSCPageDaily[data_state],"final")</x:f>
        <x:v>0</x:v>
      </x:c>
      <x:c r="E50" s="24" t="str">
        <x:f>IF(D50=0,"",SUMIFS(T09GSCPageDaily[clicks],T09GSCPageDaily[target_country],$B50,T09GSCPageDaily[language],$C50,T09GSCPageDaily[date],"&gt;="&amp;$A50,T09GSCPageDaily[date],"&lt;"&amp;DATE(YEAR($A50),MONTH($A50)+1,1),T09GSCPageDaily[data_state],"final"))</x:f>
      </x:c>
      <x:c r="F50" s="24" t="str">
        <x:f>IF(D50=0,"",SUMIFS(T09GSCPageDaily[impressions],T09GSCPageDaily[target_country],$B50,T09GSCPageDaily[language],$C50,T09GSCPageDaily[date],"&gt;="&amp;$A50,T09GSCPageDaily[date],"&lt;"&amp;DATE(YEAR($A50),MONTH($A50)+1,1),T09GSCPageDaily[data_state],"final"))</x:f>
      </x:c>
      <x:c r="G50" s="28" t="str">
        <x:f>IFERROR(IF(D50=0,"",E50/F50),"")</x:f>
      </x:c>
      <x:c r="H50" s="26" t="str">
        <x:f>IF(D50=0,"",IFERROR(SUMPRODUCT((T09GSCPageDaily[target_country]=$B50)*(T09GSCPageDaily[language]=$C50)*(T09GSCPageDaily[date]&gt;=$A50)*(T09GSCPageDaily[date]&lt;DATE(YEAR($A50),MONTH($A50)+1,1))*(T09GSCPageDaily[data_state]="final")*T09GSCPageDaily[avg_position]*T09GSCPageDaily[impressions])/F50,""))</x:f>
      </x:c>
      <x:c r="I50" s="18" t="n">
        <x:f>COUNTIFS(T11GA4LandingDaily[target_country],$B50,T11GA4LandingDaily[language],$C50,T11GA4LandingDaily[date],"&gt;="&amp;$A50,T11GA4LandingDaily[date],"&lt;"&amp;DATE(YEAR($A50),MONTH($A50)+1,1),T11GA4LandingDaily[session_channel],"Organic Search",T11GA4LandingDaily[data_quality],"Measured")</x:f>
        <x:v>0</x:v>
      </x:c>
      <x:c r="J50" s="18" t="str">
        <x:f>IF(I50=0,"",SUMIFS(T11GA4LandingDaily[sessions],T11GA4LandingDaily[target_country],$B50,T11GA4LandingDaily[language],$C50,T11GA4LandingDaily[date],"&gt;="&amp;$A50,T11GA4LandingDaily[date],"&lt;"&amp;DATE(YEAR($A50),MONTH($A50)+1,1),T11GA4LandingDaily[session_channel],"Organic Search",T11GA4LandingDaily[data_quality],"Measured"))</x:f>
      </x:c>
      <x:c r="K50" s="24" t="str">
        <x:f>IF(I50=0,"",SUMIFS(T11GA4LandingDaily[engaged_sessions],T11GA4LandingDaily[target_country],$B50,T11GA4LandingDaily[language],$C50,T11GA4LandingDaily[date],"&gt;="&amp;$A50,T11GA4LandingDaily[date],"&lt;"&amp;DATE(YEAR($A50),MONTH($A50)+1,1),T11GA4LandingDaily[session_channel],"Organic Search",T11GA4LandingDaily[data_quality],"Measured"))</x:f>
      </x:c>
      <x:c r="L50" s="28" t="str">
        <x:f>IFERROR(IF(I50=0,"",K50/J50),"")</x:f>
      </x:c>
      <x:c r="M50" s="24" t="str">
        <x:f>IF(I50=0,"",SUMIFS(T11GA4LandingDaily[key_events],T11GA4LandingDaily[target_country],$B50,T11GA4LandingDaily[language],$C50,T11GA4LandingDaily[date],"&gt;="&amp;$A50,T11GA4LandingDaily[date],"&lt;"&amp;DATE(YEAR($A50),MONTH($A50)+1,1),T11GA4LandingDaily[session_channel],"Organic Search",T11GA4LandingDaily[data_quality],"Measured"))</x:f>
      </x:c>
      <x:c r="N50" s="24" t="str">
        <x:f>IF(I50=0,"",SUMIFS(T11GA4LandingDaily[booking_starts],T11GA4LandingDaily[target_country],$B50,T11GA4LandingDaily[language],$C50,T11GA4LandingDaily[date],"&gt;="&amp;$A50,T11GA4LandingDaily[date],"&lt;"&amp;DATE(YEAR($A50),MONTH($A50)+1,1),T11GA4LandingDaily[session_channel],"Organic Search",T11GA4LandingDaily[data_quality],"Measured"))</x:f>
      </x:c>
      <x:c r="O50" s="24" t="str">
        <x:f>IF(I50=0,"",SUMIFS(T11GA4LandingDaily[purchases],T11GA4LandingDaily[target_country],$B50,T11GA4LandingDaily[language],$C50,T11GA4LandingDaily[date],"&gt;="&amp;$A50,T11GA4LandingDaily[date],"&lt;"&amp;DATE(YEAR($A50),MONTH($A50)+1,1),T11GA4LandingDaily[session_channel],"Organic Search",T11GA4LandingDaily[data_quality],"Measured"))</x:f>
      </x:c>
      <x:c r="P50" s="18" t="str">
        <x:f>IF(OR(I50=0,'25_Config'!$B$11=""),"",IF(COUNTIFS(T11GA4LandingDaily[target_country],$B50,T11GA4LandingDaily[language],$C50,T11GA4LandingDaily[date],"&gt;="&amp;$A50,T11GA4LandingDaily[date],"&lt;"&amp;DATE(YEAR($A50),MONTH($A50)+1,1),T11GA4LandingDaily[session_channel],"Organic Search",T11GA4LandingDaily[data_quality],"Measured",T11GA4LandingDaily[currency],"&lt;&gt;"&amp;'25_Config'!$B$11)&gt;0,"",SUMIFS(T11GA4LandingDaily[purchase_revenue],T11GA4LandingDaily[target_country],$B50,T11GA4LandingDaily[language],$C50,T11GA4LandingDaily[date],"&gt;="&amp;$A50,T11GA4LandingDaily[date],"&lt;"&amp;DATE(YEAR($A50),MONTH($A50)+1,1),T11GA4LandingDaily[session_channel],"Organic Search",T11GA4LandingDaily[data_quality],"Measured")))</x:f>
      </x:c>
      <x:c r="Q50" s="18" t="str">
        <x:f>IF(P50="","",'25_Config'!$B$11)</x:f>
      </x:c>
      <x:c r="R50" s="28"/>
      <x:c r="S50" s="18" t="str">
        <x:f>IF(AND(D50=0,I50=0),"Not refreshed","Check completeness, gaps and sample size")</x:f>
        <x:v>Not refreshed</x:v>
      </x:c>
    </x:row>
    <x:row r="51" ht="30" customHeight="1">
      <x:c r="A51" s="22" t="n">
        <x:v>46235</x:v>
      </x:c>
      <x:c r="B51" s="18" t="str">
        <x:v>Portugal</x:v>
      </x:c>
      <x:c r="C51" s="18" t="str">
        <x:v>pt</x:v>
      </x:c>
      <x:c r="D51" s="18" t="n">
        <x:f>COUNTIFS(T09GSCPageDaily[target_country],$B51,T09GSCPageDaily[language],$C51,T09GSCPageDaily[date],"&gt;="&amp;$A51,T09GSCPageDaily[date],"&lt;"&amp;DATE(YEAR($A51),MONTH($A51)+1,1),T09GSCPageDaily[data_state],"final")</x:f>
        <x:v>0</x:v>
      </x:c>
      <x:c r="E51" s="24" t="str">
        <x:f>IF(D51=0,"",SUMIFS(T09GSCPageDaily[clicks],T09GSCPageDaily[target_country],$B51,T09GSCPageDaily[language],$C51,T09GSCPageDaily[date],"&gt;="&amp;$A51,T09GSCPageDaily[date],"&lt;"&amp;DATE(YEAR($A51),MONTH($A51)+1,1),T09GSCPageDaily[data_state],"final"))</x:f>
      </x:c>
      <x:c r="F51" s="24" t="str">
        <x:f>IF(D51=0,"",SUMIFS(T09GSCPageDaily[impressions],T09GSCPageDaily[target_country],$B51,T09GSCPageDaily[language],$C51,T09GSCPageDaily[date],"&gt;="&amp;$A51,T09GSCPageDaily[date],"&lt;"&amp;DATE(YEAR($A51),MONTH($A51)+1,1),T09GSCPageDaily[data_state],"final"))</x:f>
      </x:c>
      <x:c r="G51" s="28" t="str">
        <x:f>IFERROR(IF(D51=0,"",E51/F51),"")</x:f>
      </x:c>
      <x:c r="H51" s="26" t="str">
        <x:f>IF(D51=0,"",IFERROR(SUMPRODUCT((T09GSCPageDaily[target_country]=$B51)*(T09GSCPageDaily[language]=$C51)*(T09GSCPageDaily[date]&gt;=$A51)*(T09GSCPageDaily[date]&lt;DATE(YEAR($A51),MONTH($A51)+1,1))*(T09GSCPageDaily[data_state]="final")*T09GSCPageDaily[avg_position]*T09GSCPageDaily[impressions])/F51,""))</x:f>
      </x:c>
      <x:c r="I51" s="18" t="n">
        <x:f>COUNTIFS(T11GA4LandingDaily[target_country],$B51,T11GA4LandingDaily[language],$C51,T11GA4LandingDaily[date],"&gt;="&amp;$A51,T11GA4LandingDaily[date],"&lt;"&amp;DATE(YEAR($A51),MONTH($A51)+1,1),T11GA4LandingDaily[session_channel],"Organic Search",T11GA4LandingDaily[data_quality],"Measured")</x:f>
        <x:v>0</x:v>
      </x:c>
      <x:c r="J51" s="18" t="str">
        <x:f>IF(I51=0,"",SUMIFS(T11GA4LandingDaily[sessions],T11GA4LandingDaily[target_country],$B51,T11GA4LandingDaily[language],$C51,T11GA4LandingDaily[date],"&gt;="&amp;$A51,T11GA4LandingDaily[date],"&lt;"&amp;DATE(YEAR($A51),MONTH($A51)+1,1),T11GA4LandingDaily[session_channel],"Organic Search",T11GA4LandingDaily[data_quality],"Measured"))</x:f>
      </x:c>
      <x:c r="K51" s="24" t="str">
        <x:f>IF(I51=0,"",SUMIFS(T11GA4LandingDaily[engaged_sessions],T11GA4LandingDaily[target_country],$B51,T11GA4LandingDaily[language],$C51,T11GA4LandingDaily[date],"&gt;="&amp;$A51,T11GA4LandingDaily[date],"&lt;"&amp;DATE(YEAR($A51),MONTH($A51)+1,1),T11GA4LandingDaily[session_channel],"Organic Search",T11GA4LandingDaily[data_quality],"Measured"))</x:f>
      </x:c>
      <x:c r="L51" s="28" t="str">
        <x:f>IFERROR(IF(I51=0,"",K51/J51),"")</x:f>
      </x:c>
      <x:c r="M51" s="24" t="str">
        <x:f>IF(I51=0,"",SUMIFS(T11GA4LandingDaily[key_events],T11GA4LandingDaily[target_country],$B51,T11GA4LandingDaily[language],$C51,T11GA4LandingDaily[date],"&gt;="&amp;$A51,T11GA4LandingDaily[date],"&lt;"&amp;DATE(YEAR($A51),MONTH($A51)+1,1),T11GA4LandingDaily[session_channel],"Organic Search",T11GA4LandingDaily[data_quality],"Measured"))</x:f>
      </x:c>
      <x:c r="N51" s="24" t="str">
        <x:f>IF(I51=0,"",SUMIFS(T11GA4LandingDaily[booking_starts],T11GA4LandingDaily[target_country],$B51,T11GA4LandingDaily[language],$C51,T11GA4LandingDaily[date],"&gt;="&amp;$A51,T11GA4LandingDaily[date],"&lt;"&amp;DATE(YEAR($A51),MONTH($A51)+1,1),T11GA4LandingDaily[session_channel],"Organic Search",T11GA4LandingDaily[data_quality],"Measured"))</x:f>
      </x:c>
      <x:c r="O51" s="24" t="str">
        <x:f>IF(I51=0,"",SUMIFS(T11GA4LandingDaily[purchases],T11GA4LandingDaily[target_country],$B51,T11GA4LandingDaily[language],$C51,T11GA4LandingDaily[date],"&gt;="&amp;$A51,T11GA4LandingDaily[date],"&lt;"&amp;DATE(YEAR($A51),MONTH($A51)+1,1),T11GA4LandingDaily[session_channel],"Organic Search",T11GA4LandingDaily[data_quality],"Measured"))</x:f>
      </x:c>
      <x:c r="P51" s="18" t="str">
        <x:f>IF(OR(I51=0,'25_Config'!$B$11=""),"",IF(COUNTIFS(T11GA4LandingDaily[target_country],$B51,T11GA4LandingDaily[language],$C51,T11GA4LandingDaily[date],"&gt;="&amp;$A51,T11GA4LandingDaily[date],"&lt;"&amp;DATE(YEAR($A51),MONTH($A51)+1,1),T11GA4LandingDaily[session_channel],"Organic Search",T11GA4LandingDaily[data_quality],"Measured",T11GA4LandingDaily[currency],"&lt;&gt;"&amp;'25_Config'!$B$11)&gt;0,"",SUMIFS(T11GA4LandingDaily[purchase_revenue],T11GA4LandingDaily[target_country],$B51,T11GA4LandingDaily[language],$C51,T11GA4LandingDaily[date],"&gt;="&amp;$A51,T11GA4LandingDaily[date],"&lt;"&amp;DATE(YEAR($A51),MONTH($A51)+1,1),T11GA4LandingDaily[session_channel],"Organic Search",T11GA4LandingDaily[data_quality],"Measured")))</x:f>
      </x:c>
      <x:c r="Q51" s="18" t="str">
        <x:f>IF(P51="","",'25_Config'!$B$11)</x:f>
      </x:c>
      <x:c r="R51" s="28"/>
      <x:c r="S51" s="18" t="str">
        <x:f>IF(AND(D51=0,I51=0),"Not refreshed","Check completeness, gaps and sample size")</x:f>
        <x:v>Not refreshed</x:v>
      </x:c>
    </x:row>
    <x:row r="52" ht="30" customHeight="1">
      <x:c r="A52" s="22" t="n">
        <x:v>46235</x:v>
      </x:c>
      <x:c r="B52" s="18" t="str">
        <x:v>Portugal</x:v>
      </x:c>
      <x:c r="C52" s="18" t="str">
        <x:v>en</x:v>
      </x:c>
      <x:c r="D52" s="18" t="n">
        <x:f>COUNTIFS(T09GSCPageDaily[target_country],$B52,T09GSCPageDaily[language],$C52,T09GSCPageDaily[date],"&gt;="&amp;$A52,T09GSCPageDaily[date],"&lt;"&amp;DATE(YEAR($A52),MONTH($A52)+1,1),T09GSCPageDaily[data_state],"final")</x:f>
        <x:v>0</x:v>
      </x:c>
      <x:c r="E52" s="24" t="str">
        <x:f>IF(D52=0,"",SUMIFS(T09GSCPageDaily[clicks],T09GSCPageDaily[target_country],$B52,T09GSCPageDaily[language],$C52,T09GSCPageDaily[date],"&gt;="&amp;$A52,T09GSCPageDaily[date],"&lt;"&amp;DATE(YEAR($A52),MONTH($A52)+1,1),T09GSCPageDaily[data_state],"final"))</x:f>
      </x:c>
      <x:c r="F52" s="24" t="str">
        <x:f>IF(D52=0,"",SUMIFS(T09GSCPageDaily[impressions],T09GSCPageDaily[target_country],$B52,T09GSCPageDaily[language],$C52,T09GSCPageDaily[date],"&gt;="&amp;$A52,T09GSCPageDaily[date],"&lt;"&amp;DATE(YEAR($A52),MONTH($A52)+1,1),T09GSCPageDaily[data_state],"final"))</x:f>
      </x:c>
      <x:c r="G52" s="28" t="str">
        <x:f>IFERROR(IF(D52=0,"",E52/F52),"")</x:f>
      </x:c>
      <x:c r="H52" s="26" t="str">
        <x:f>IF(D52=0,"",IFERROR(SUMPRODUCT((T09GSCPageDaily[target_country]=$B52)*(T09GSCPageDaily[language]=$C52)*(T09GSCPageDaily[date]&gt;=$A52)*(T09GSCPageDaily[date]&lt;DATE(YEAR($A52),MONTH($A52)+1,1))*(T09GSCPageDaily[data_state]="final")*T09GSCPageDaily[avg_position]*T09GSCPageDaily[impressions])/F52,""))</x:f>
      </x:c>
      <x:c r="I52" s="18" t="n">
        <x:f>COUNTIFS(T11GA4LandingDaily[target_country],$B52,T11GA4LandingDaily[language],$C52,T11GA4LandingDaily[date],"&gt;="&amp;$A52,T11GA4LandingDaily[date],"&lt;"&amp;DATE(YEAR($A52),MONTH($A52)+1,1),T11GA4LandingDaily[session_channel],"Organic Search",T11GA4LandingDaily[data_quality],"Measured")</x:f>
        <x:v>0</x:v>
      </x:c>
      <x:c r="J52" s="18" t="str">
        <x:f>IF(I52=0,"",SUMIFS(T11GA4LandingDaily[sessions],T11GA4LandingDaily[target_country],$B52,T11GA4LandingDaily[language],$C52,T11GA4LandingDaily[date],"&gt;="&amp;$A52,T11GA4LandingDaily[date],"&lt;"&amp;DATE(YEAR($A52),MONTH($A52)+1,1),T11GA4LandingDaily[session_channel],"Organic Search",T11GA4LandingDaily[data_quality],"Measured"))</x:f>
      </x:c>
      <x:c r="K52" s="24" t="str">
        <x:f>IF(I52=0,"",SUMIFS(T11GA4LandingDaily[engaged_sessions],T11GA4LandingDaily[target_country],$B52,T11GA4LandingDaily[language],$C52,T11GA4LandingDaily[date],"&gt;="&amp;$A52,T11GA4LandingDaily[date],"&lt;"&amp;DATE(YEAR($A52),MONTH($A52)+1,1),T11GA4LandingDaily[session_channel],"Organic Search",T11GA4LandingDaily[data_quality],"Measured"))</x:f>
      </x:c>
      <x:c r="L52" s="28" t="str">
        <x:f>IFERROR(IF(I52=0,"",K52/J52),"")</x:f>
      </x:c>
      <x:c r="M52" s="24" t="str">
        <x:f>IF(I52=0,"",SUMIFS(T11GA4LandingDaily[key_events],T11GA4LandingDaily[target_country],$B52,T11GA4LandingDaily[language],$C52,T11GA4LandingDaily[date],"&gt;="&amp;$A52,T11GA4LandingDaily[date],"&lt;"&amp;DATE(YEAR($A52),MONTH($A52)+1,1),T11GA4LandingDaily[session_channel],"Organic Search",T11GA4LandingDaily[data_quality],"Measured"))</x:f>
      </x:c>
      <x:c r="N52" s="24" t="str">
        <x:f>IF(I52=0,"",SUMIFS(T11GA4LandingDaily[booking_starts],T11GA4LandingDaily[target_country],$B52,T11GA4LandingDaily[language],$C52,T11GA4LandingDaily[date],"&gt;="&amp;$A52,T11GA4LandingDaily[date],"&lt;"&amp;DATE(YEAR($A52),MONTH($A52)+1,1),T11GA4LandingDaily[session_channel],"Organic Search",T11GA4LandingDaily[data_quality],"Measured"))</x:f>
      </x:c>
      <x:c r="O52" s="24" t="str">
        <x:f>IF(I52=0,"",SUMIFS(T11GA4LandingDaily[purchases],T11GA4LandingDaily[target_country],$B52,T11GA4LandingDaily[language],$C52,T11GA4LandingDaily[date],"&gt;="&amp;$A52,T11GA4LandingDaily[date],"&lt;"&amp;DATE(YEAR($A52),MONTH($A52)+1,1),T11GA4LandingDaily[session_channel],"Organic Search",T11GA4LandingDaily[data_quality],"Measured"))</x:f>
      </x:c>
      <x:c r="P52" s="18" t="str">
        <x:f>IF(OR(I52=0,'25_Config'!$B$11=""),"",IF(COUNTIFS(T11GA4LandingDaily[target_country],$B52,T11GA4LandingDaily[language],$C52,T11GA4LandingDaily[date],"&gt;="&amp;$A52,T11GA4LandingDaily[date],"&lt;"&amp;DATE(YEAR($A52),MONTH($A52)+1,1),T11GA4LandingDaily[session_channel],"Organic Search",T11GA4LandingDaily[data_quality],"Measured",T11GA4LandingDaily[currency],"&lt;&gt;"&amp;'25_Config'!$B$11)&gt;0,"",SUMIFS(T11GA4LandingDaily[purchase_revenue],T11GA4LandingDaily[target_country],$B52,T11GA4LandingDaily[language],$C52,T11GA4LandingDaily[date],"&gt;="&amp;$A52,T11GA4LandingDaily[date],"&lt;"&amp;DATE(YEAR($A52),MONTH($A52)+1,1),T11GA4LandingDaily[session_channel],"Organic Search",T11GA4LandingDaily[data_quality],"Measured")))</x:f>
      </x:c>
      <x:c r="Q52" s="18" t="str">
        <x:f>IF(P52="","",'25_Config'!$B$11)</x:f>
      </x:c>
      <x:c r="R52" s="28"/>
      <x:c r="S52" s="18" t="str">
        <x:f>IF(AND(D52=0,I52=0),"Not refreshed","Check completeness, gaps and sample size")</x:f>
        <x:v>Not refreshed</x:v>
      </x:c>
    </x:row>
    <x:row r="53" ht="30" customHeight="1">
      <x:c r="A53" s="22" t="n">
        <x:v>46235</x:v>
      </x:c>
      <x:c r="B53" s="18" t="str">
        <x:v>Portugal</x:v>
      </x:c>
      <x:c r="C53" s="18" t="str">
        <x:v>es</x:v>
      </x:c>
      <x:c r="D53" s="18" t="n">
        <x:f>COUNTIFS(T09GSCPageDaily[target_country],$B53,T09GSCPageDaily[language],$C53,T09GSCPageDaily[date],"&gt;="&amp;$A53,T09GSCPageDaily[date],"&lt;"&amp;DATE(YEAR($A53),MONTH($A53)+1,1),T09GSCPageDaily[data_state],"final")</x:f>
        <x:v>0</x:v>
      </x:c>
      <x:c r="E53" s="24" t="str">
        <x:f>IF(D53=0,"",SUMIFS(T09GSCPageDaily[clicks],T09GSCPageDaily[target_country],$B53,T09GSCPageDaily[language],$C53,T09GSCPageDaily[date],"&gt;="&amp;$A53,T09GSCPageDaily[date],"&lt;"&amp;DATE(YEAR($A53),MONTH($A53)+1,1),T09GSCPageDaily[data_state],"final"))</x:f>
      </x:c>
      <x:c r="F53" s="24" t="str">
        <x:f>IF(D53=0,"",SUMIFS(T09GSCPageDaily[impressions],T09GSCPageDaily[target_country],$B53,T09GSCPageDaily[language],$C53,T09GSCPageDaily[date],"&gt;="&amp;$A53,T09GSCPageDaily[date],"&lt;"&amp;DATE(YEAR($A53),MONTH($A53)+1,1),T09GSCPageDaily[data_state],"final"))</x:f>
      </x:c>
      <x:c r="G53" s="28" t="str">
        <x:f>IFERROR(IF(D53=0,"",E53/F53),"")</x:f>
      </x:c>
      <x:c r="H53" s="26" t="str">
        <x:f>IF(D53=0,"",IFERROR(SUMPRODUCT((T09GSCPageDaily[target_country]=$B53)*(T09GSCPageDaily[language]=$C53)*(T09GSCPageDaily[date]&gt;=$A53)*(T09GSCPageDaily[date]&lt;DATE(YEAR($A53),MONTH($A53)+1,1))*(T09GSCPageDaily[data_state]="final")*T09GSCPageDaily[avg_position]*T09GSCPageDaily[impressions])/F53,""))</x:f>
      </x:c>
      <x:c r="I53" s="18" t="n">
        <x:f>COUNTIFS(T11GA4LandingDaily[target_country],$B53,T11GA4LandingDaily[language],$C53,T11GA4LandingDaily[date],"&gt;="&amp;$A53,T11GA4LandingDaily[date],"&lt;"&amp;DATE(YEAR($A53),MONTH($A53)+1,1),T11GA4LandingDaily[session_channel],"Organic Search",T11GA4LandingDaily[data_quality],"Measured")</x:f>
        <x:v>0</x:v>
      </x:c>
      <x:c r="J53" s="18" t="str">
        <x:f>IF(I53=0,"",SUMIFS(T11GA4LandingDaily[sessions],T11GA4LandingDaily[target_country],$B53,T11GA4LandingDaily[language],$C53,T11GA4LandingDaily[date],"&gt;="&amp;$A53,T11GA4LandingDaily[date],"&lt;"&amp;DATE(YEAR($A53),MONTH($A53)+1,1),T11GA4LandingDaily[session_channel],"Organic Search",T11GA4LandingDaily[data_quality],"Measured"))</x:f>
      </x:c>
      <x:c r="K53" s="24" t="str">
        <x:f>IF(I53=0,"",SUMIFS(T11GA4LandingDaily[engaged_sessions],T11GA4LandingDaily[target_country],$B53,T11GA4LandingDaily[language],$C53,T11GA4LandingDaily[date],"&gt;="&amp;$A53,T11GA4LandingDaily[date],"&lt;"&amp;DATE(YEAR($A53),MONTH($A53)+1,1),T11GA4LandingDaily[session_channel],"Organic Search",T11GA4LandingDaily[data_quality],"Measured"))</x:f>
      </x:c>
      <x:c r="L53" s="28" t="str">
        <x:f>IFERROR(IF(I53=0,"",K53/J53),"")</x:f>
      </x:c>
      <x:c r="M53" s="24" t="str">
        <x:f>IF(I53=0,"",SUMIFS(T11GA4LandingDaily[key_events],T11GA4LandingDaily[target_country],$B53,T11GA4LandingDaily[language],$C53,T11GA4LandingDaily[date],"&gt;="&amp;$A53,T11GA4LandingDaily[date],"&lt;"&amp;DATE(YEAR($A53),MONTH($A53)+1,1),T11GA4LandingDaily[session_channel],"Organic Search",T11GA4LandingDaily[data_quality],"Measured"))</x:f>
      </x:c>
      <x:c r="N53" s="24" t="str">
        <x:f>IF(I53=0,"",SUMIFS(T11GA4LandingDaily[booking_starts],T11GA4LandingDaily[target_country],$B53,T11GA4LandingDaily[language],$C53,T11GA4LandingDaily[date],"&gt;="&amp;$A53,T11GA4LandingDaily[date],"&lt;"&amp;DATE(YEAR($A53),MONTH($A53)+1,1),T11GA4LandingDaily[session_channel],"Organic Search",T11GA4LandingDaily[data_quality],"Measured"))</x:f>
      </x:c>
      <x:c r="O53" s="24" t="str">
        <x:f>IF(I53=0,"",SUMIFS(T11GA4LandingDaily[purchases],T11GA4LandingDaily[target_country],$B53,T11GA4LandingDaily[language],$C53,T11GA4LandingDaily[date],"&gt;="&amp;$A53,T11GA4LandingDaily[date],"&lt;"&amp;DATE(YEAR($A53),MONTH($A53)+1,1),T11GA4LandingDaily[session_channel],"Organic Search",T11GA4LandingDaily[data_quality],"Measured"))</x:f>
      </x:c>
      <x:c r="P53" s="18" t="str">
        <x:f>IF(OR(I53=0,'25_Config'!$B$11=""),"",IF(COUNTIFS(T11GA4LandingDaily[target_country],$B53,T11GA4LandingDaily[language],$C53,T11GA4LandingDaily[date],"&gt;="&amp;$A53,T11GA4LandingDaily[date],"&lt;"&amp;DATE(YEAR($A53),MONTH($A53)+1,1),T11GA4LandingDaily[session_channel],"Organic Search",T11GA4LandingDaily[data_quality],"Measured",T11GA4LandingDaily[currency],"&lt;&gt;"&amp;'25_Config'!$B$11)&gt;0,"",SUMIFS(T11GA4LandingDaily[purchase_revenue],T11GA4LandingDaily[target_country],$B53,T11GA4LandingDaily[language],$C53,T11GA4LandingDaily[date],"&gt;="&amp;$A53,T11GA4LandingDaily[date],"&lt;"&amp;DATE(YEAR($A53),MONTH($A53)+1,1),T11GA4LandingDaily[session_channel],"Organic Search",T11GA4LandingDaily[data_quality],"Measured")))</x:f>
      </x:c>
      <x:c r="Q53" s="18" t="str">
        <x:f>IF(P53="","",'25_Config'!$B$11)</x:f>
      </x:c>
      <x:c r="R53" s="28"/>
      <x:c r="S53" s="18" t="str">
        <x:f>IF(AND(D53=0,I53=0),"Not refreshed","Check completeness, gaps and sample size")</x:f>
        <x:v>Not refreshed</x:v>
      </x:c>
    </x:row>
    <x:row r="54" ht="30" customHeight="1">
      <x:c r="A54" s="22" t="n">
        <x:v>46235</x:v>
      </x:c>
      <x:c r="B54" s="18" t="str">
        <x:v>Portugal</x:v>
      </x:c>
      <x:c r="C54" s="18" t="str">
        <x:v>cs</x:v>
      </x:c>
      <x:c r="D54" s="18" t="n">
        <x:f>COUNTIFS(T09GSCPageDaily[target_country],$B54,T09GSCPageDaily[language],$C54,T09GSCPageDaily[date],"&gt;="&amp;$A54,T09GSCPageDaily[date],"&lt;"&amp;DATE(YEAR($A54),MONTH($A54)+1,1),T09GSCPageDaily[data_state],"final")</x:f>
        <x:v>0</x:v>
      </x:c>
      <x:c r="E54" s="24" t="str">
        <x:f>IF(D54=0,"",SUMIFS(T09GSCPageDaily[clicks],T09GSCPageDaily[target_country],$B54,T09GSCPageDaily[language],$C54,T09GSCPageDaily[date],"&gt;="&amp;$A54,T09GSCPageDaily[date],"&lt;"&amp;DATE(YEAR($A54),MONTH($A54)+1,1),T09GSCPageDaily[data_state],"final"))</x:f>
      </x:c>
      <x:c r="F54" s="24" t="str">
        <x:f>IF(D54=0,"",SUMIFS(T09GSCPageDaily[impressions],T09GSCPageDaily[target_country],$B54,T09GSCPageDaily[language],$C54,T09GSCPageDaily[date],"&gt;="&amp;$A54,T09GSCPageDaily[date],"&lt;"&amp;DATE(YEAR($A54),MONTH($A54)+1,1),T09GSCPageDaily[data_state],"final"))</x:f>
      </x:c>
      <x:c r="G54" s="28" t="str">
        <x:f>IFERROR(IF(D54=0,"",E54/F54),"")</x:f>
      </x:c>
      <x:c r="H54" s="26" t="str">
        <x:f>IF(D54=0,"",IFERROR(SUMPRODUCT((T09GSCPageDaily[target_country]=$B54)*(T09GSCPageDaily[language]=$C54)*(T09GSCPageDaily[date]&gt;=$A54)*(T09GSCPageDaily[date]&lt;DATE(YEAR($A54),MONTH($A54)+1,1))*(T09GSCPageDaily[data_state]="final")*T09GSCPageDaily[avg_position]*T09GSCPageDaily[impressions])/F54,""))</x:f>
      </x:c>
      <x:c r="I54" s="18" t="n">
        <x:f>COUNTIFS(T11GA4LandingDaily[target_country],$B54,T11GA4LandingDaily[language],$C54,T11GA4LandingDaily[date],"&gt;="&amp;$A54,T11GA4LandingDaily[date],"&lt;"&amp;DATE(YEAR($A54),MONTH($A54)+1,1),T11GA4LandingDaily[session_channel],"Organic Search",T11GA4LandingDaily[data_quality],"Measured")</x:f>
        <x:v>0</x:v>
      </x:c>
      <x:c r="J54" s="18" t="str">
        <x:f>IF(I54=0,"",SUMIFS(T11GA4LandingDaily[sessions],T11GA4LandingDaily[target_country],$B54,T11GA4LandingDaily[language],$C54,T11GA4LandingDaily[date],"&gt;="&amp;$A54,T11GA4LandingDaily[date],"&lt;"&amp;DATE(YEAR($A54),MONTH($A54)+1,1),T11GA4LandingDaily[session_channel],"Organic Search",T11GA4LandingDaily[data_quality],"Measured"))</x:f>
      </x:c>
      <x:c r="K54" s="24" t="str">
        <x:f>IF(I54=0,"",SUMIFS(T11GA4LandingDaily[engaged_sessions],T11GA4LandingDaily[target_country],$B54,T11GA4LandingDaily[language],$C54,T11GA4LandingDaily[date],"&gt;="&amp;$A54,T11GA4LandingDaily[date],"&lt;"&amp;DATE(YEAR($A54),MONTH($A54)+1,1),T11GA4LandingDaily[session_channel],"Organic Search",T11GA4LandingDaily[data_quality],"Measured"))</x:f>
      </x:c>
      <x:c r="L54" s="28" t="str">
        <x:f>IFERROR(IF(I54=0,"",K54/J54),"")</x:f>
      </x:c>
      <x:c r="M54" s="24" t="str">
        <x:f>IF(I54=0,"",SUMIFS(T11GA4LandingDaily[key_events],T11GA4LandingDaily[target_country],$B54,T11GA4LandingDaily[language],$C54,T11GA4LandingDaily[date],"&gt;="&amp;$A54,T11GA4LandingDaily[date],"&lt;"&amp;DATE(YEAR($A54),MONTH($A54)+1,1),T11GA4LandingDaily[session_channel],"Organic Search",T11GA4LandingDaily[data_quality],"Measured"))</x:f>
      </x:c>
      <x:c r="N54" s="24" t="str">
        <x:f>IF(I54=0,"",SUMIFS(T11GA4LandingDaily[booking_starts],T11GA4LandingDaily[target_country],$B54,T11GA4LandingDaily[language],$C54,T11GA4LandingDaily[date],"&gt;="&amp;$A54,T11GA4LandingDaily[date],"&lt;"&amp;DATE(YEAR($A54),MONTH($A54)+1,1),T11GA4LandingDaily[session_channel],"Organic Search",T11GA4LandingDaily[data_quality],"Measured"))</x:f>
      </x:c>
      <x:c r="O54" s="24" t="str">
        <x:f>IF(I54=0,"",SUMIFS(T11GA4LandingDaily[purchases],T11GA4LandingDaily[target_country],$B54,T11GA4LandingDaily[language],$C54,T11GA4LandingDaily[date],"&gt;="&amp;$A54,T11GA4LandingDaily[date],"&lt;"&amp;DATE(YEAR($A54),MONTH($A54)+1,1),T11GA4LandingDaily[session_channel],"Organic Search",T11GA4LandingDaily[data_quality],"Measured"))</x:f>
      </x:c>
      <x:c r="P54" s="18" t="str">
        <x:f>IF(OR(I54=0,'25_Config'!$B$11=""),"",IF(COUNTIFS(T11GA4LandingDaily[target_country],$B54,T11GA4LandingDaily[language],$C54,T11GA4LandingDaily[date],"&gt;="&amp;$A54,T11GA4LandingDaily[date],"&lt;"&amp;DATE(YEAR($A54),MONTH($A54)+1,1),T11GA4LandingDaily[session_channel],"Organic Search",T11GA4LandingDaily[data_quality],"Measured",T11GA4LandingDaily[currency],"&lt;&gt;"&amp;'25_Config'!$B$11)&gt;0,"",SUMIFS(T11GA4LandingDaily[purchase_revenue],T11GA4LandingDaily[target_country],$B54,T11GA4LandingDaily[language],$C54,T11GA4LandingDaily[date],"&gt;="&amp;$A54,T11GA4LandingDaily[date],"&lt;"&amp;DATE(YEAR($A54),MONTH($A54)+1,1),T11GA4LandingDaily[session_channel],"Organic Search",T11GA4LandingDaily[data_quality],"Measured")))</x:f>
      </x:c>
      <x:c r="Q54" s="18" t="str">
        <x:f>IF(P54="","",'25_Config'!$B$11)</x:f>
      </x:c>
      <x:c r="R54" s="28"/>
      <x:c r="S54" s="18" t="str">
        <x:f>IF(AND(D54=0,I54=0),"Not refreshed","Check completeness, gaps and sample size")</x:f>
        <x:v>Not refreshed</x:v>
      </x:c>
    </x:row>
    <x:row r="55" ht="30" customHeight="1">
      <x:c r="A55" s="22" t="n">
        <x:v>46235</x:v>
      </x:c>
      <x:c r="B55" s="18" t="str">
        <x:v>Portugal</x:v>
      </x:c>
      <x:c r="C55" s="18" t="str">
        <x:v>ro</x:v>
      </x:c>
      <x:c r="D55" s="18" t="n">
        <x:f>COUNTIFS(T09GSCPageDaily[target_country],$B55,T09GSCPageDaily[language],$C55,T09GSCPageDaily[date],"&gt;="&amp;$A55,T09GSCPageDaily[date],"&lt;"&amp;DATE(YEAR($A55),MONTH($A55)+1,1),T09GSCPageDaily[data_state],"final")</x:f>
        <x:v>0</x:v>
      </x:c>
      <x:c r="E55" s="24" t="str">
        <x:f>IF(D55=0,"",SUMIFS(T09GSCPageDaily[clicks],T09GSCPageDaily[target_country],$B55,T09GSCPageDaily[language],$C55,T09GSCPageDaily[date],"&gt;="&amp;$A55,T09GSCPageDaily[date],"&lt;"&amp;DATE(YEAR($A55),MONTH($A55)+1,1),T09GSCPageDaily[data_state],"final"))</x:f>
      </x:c>
      <x:c r="F55" s="24" t="str">
        <x:f>IF(D55=0,"",SUMIFS(T09GSCPageDaily[impressions],T09GSCPageDaily[target_country],$B55,T09GSCPageDaily[language],$C55,T09GSCPageDaily[date],"&gt;="&amp;$A55,T09GSCPageDaily[date],"&lt;"&amp;DATE(YEAR($A55),MONTH($A55)+1,1),T09GSCPageDaily[data_state],"final"))</x:f>
      </x:c>
      <x:c r="G55" s="28" t="str">
        <x:f>IFERROR(IF(D55=0,"",E55/F55),"")</x:f>
      </x:c>
      <x:c r="H55" s="26" t="str">
        <x:f>IF(D55=0,"",IFERROR(SUMPRODUCT((T09GSCPageDaily[target_country]=$B55)*(T09GSCPageDaily[language]=$C55)*(T09GSCPageDaily[date]&gt;=$A55)*(T09GSCPageDaily[date]&lt;DATE(YEAR($A55),MONTH($A55)+1,1))*(T09GSCPageDaily[data_state]="final")*T09GSCPageDaily[avg_position]*T09GSCPageDaily[impressions])/F55,""))</x:f>
      </x:c>
      <x:c r="I55" s="18" t="n">
        <x:f>COUNTIFS(T11GA4LandingDaily[target_country],$B55,T11GA4LandingDaily[language],$C55,T11GA4LandingDaily[date],"&gt;="&amp;$A55,T11GA4LandingDaily[date],"&lt;"&amp;DATE(YEAR($A55),MONTH($A55)+1,1),T11GA4LandingDaily[session_channel],"Organic Search",T11GA4LandingDaily[data_quality],"Measured")</x:f>
        <x:v>0</x:v>
      </x:c>
      <x:c r="J55" s="18" t="str">
        <x:f>IF(I55=0,"",SUMIFS(T11GA4LandingDaily[sessions],T11GA4LandingDaily[target_country],$B55,T11GA4LandingDaily[language],$C55,T11GA4LandingDaily[date],"&gt;="&amp;$A55,T11GA4LandingDaily[date],"&lt;"&amp;DATE(YEAR($A55),MONTH($A55)+1,1),T11GA4LandingDaily[session_channel],"Organic Search",T11GA4LandingDaily[data_quality],"Measured"))</x:f>
      </x:c>
      <x:c r="K55" s="24" t="str">
        <x:f>IF(I55=0,"",SUMIFS(T11GA4LandingDaily[engaged_sessions],T11GA4LandingDaily[target_country],$B55,T11GA4LandingDaily[language],$C55,T11GA4LandingDaily[date],"&gt;="&amp;$A55,T11GA4LandingDaily[date],"&lt;"&amp;DATE(YEAR($A55),MONTH($A55)+1,1),T11GA4LandingDaily[session_channel],"Organic Search",T11GA4LandingDaily[data_quality],"Measured"))</x:f>
      </x:c>
      <x:c r="L55" s="28" t="str">
        <x:f>IFERROR(IF(I55=0,"",K55/J55),"")</x:f>
      </x:c>
      <x:c r="M55" s="24" t="str">
        <x:f>IF(I55=0,"",SUMIFS(T11GA4LandingDaily[key_events],T11GA4LandingDaily[target_country],$B55,T11GA4LandingDaily[language],$C55,T11GA4LandingDaily[date],"&gt;="&amp;$A55,T11GA4LandingDaily[date],"&lt;"&amp;DATE(YEAR($A55),MONTH($A55)+1,1),T11GA4LandingDaily[session_channel],"Organic Search",T11GA4LandingDaily[data_quality],"Measured"))</x:f>
      </x:c>
      <x:c r="N55" s="24" t="str">
        <x:f>IF(I55=0,"",SUMIFS(T11GA4LandingDaily[booking_starts],T11GA4LandingDaily[target_country],$B55,T11GA4LandingDaily[language],$C55,T11GA4LandingDaily[date],"&gt;="&amp;$A55,T11GA4LandingDaily[date],"&lt;"&amp;DATE(YEAR($A55),MONTH($A55)+1,1),T11GA4LandingDaily[session_channel],"Organic Search",T11GA4LandingDaily[data_quality],"Measured"))</x:f>
      </x:c>
      <x:c r="O55" s="24" t="str">
        <x:f>IF(I55=0,"",SUMIFS(T11GA4LandingDaily[purchases],T11GA4LandingDaily[target_country],$B55,T11GA4LandingDaily[language],$C55,T11GA4LandingDaily[date],"&gt;="&amp;$A55,T11GA4LandingDaily[date],"&lt;"&amp;DATE(YEAR($A55),MONTH($A55)+1,1),T11GA4LandingDaily[session_channel],"Organic Search",T11GA4LandingDaily[data_quality],"Measured"))</x:f>
      </x:c>
      <x:c r="P55" s="18" t="str">
        <x:f>IF(OR(I55=0,'25_Config'!$B$11=""),"",IF(COUNTIFS(T11GA4LandingDaily[target_country],$B55,T11GA4LandingDaily[language],$C55,T11GA4LandingDaily[date],"&gt;="&amp;$A55,T11GA4LandingDaily[date],"&lt;"&amp;DATE(YEAR($A55),MONTH($A55)+1,1),T11GA4LandingDaily[session_channel],"Organic Search",T11GA4LandingDaily[data_quality],"Measured",T11GA4LandingDaily[currency],"&lt;&gt;"&amp;'25_Config'!$B$11)&gt;0,"",SUMIFS(T11GA4LandingDaily[purchase_revenue],T11GA4LandingDaily[target_country],$B55,T11GA4LandingDaily[language],$C55,T11GA4LandingDaily[date],"&gt;="&amp;$A55,T11GA4LandingDaily[date],"&lt;"&amp;DATE(YEAR($A55),MONTH($A55)+1,1),T11GA4LandingDaily[session_channel],"Organic Search",T11GA4LandingDaily[data_quality],"Measured")))</x:f>
      </x:c>
      <x:c r="Q55" s="18" t="str">
        <x:f>IF(P55="","",'25_Config'!$B$11)</x:f>
      </x:c>
      <x:c r="R55" s="28"/>
      <x:c r="S55" s="18" t="str">
        <x:f>IF(AND(D55=0,I55=0),"Not refreshed","Check completeness, gaps and sample size")</x:f>
        <x:v>Not refreshed</x:v>
      </x:c>
    </x:row>
    <x:row r="56" ht="30" customHeight="1">
      <x:c r="A56" s="22" t="n">
        <x:v>46235</x:v>
      </x:c>
      <x:c r="B56" s="18" t="str">
        <x:v>Portugal</x:v>
      </x:c>
      <x:c r="C56" s="18" t="str">
        <x:v>de</x:v>
      </x:c>
      <x:c r="D56" s="18" t="n">
        <x:f>COUNTIFS(T09GSCPageDaily[target_country],$B56,T09GSCPageDaily[language],$C56,T09GSCPageDaily[date],"&gt;="&amp;$A56,T09GSCPageDaily[date],"&lt;"&amp;DATE(YEAR($A56),MONTH($A56)+1,1),T09GSCPageDaily[data_state],"final")</x:f>
        <x:v>0</x:v>
      </x:c>
      <x:c r="E56" s="24" t="str">
        <x:f>IF(D56=0,"",SUMIFS(T09GSCPageDaily[clicks],T09GSCPageDaily[target_country],$B56,T09GSCPageDaily[language],$C56,T09GSCPageDaily[date],"&gt;="&amp;$A56,T09GSCPageDaily[date],"&lt;"&amp;DATE(YEAR($A56),MONTH($A56)+1,1),T09GSCPageDaily[data_state],"final"))</x:f>
      </x:c>
      <x:c r="F56" s="24" t="str">
        <x:f>IF(D56=0,"",SUMIFS(T09GSCPageDaily[impressions],T09GSCPageDaily[target_country],$B56,T09GSCPageDaily[language],$C56,T09GSCPageDaily[date],"&gt;="&amp;$A56,T09GSCPageDaily[date],"&lt;"&amp;DATE(YEAR($A56),MONTH($A56)+1,1),T09GSCPageDaily[data_state],"final"))</x:f>
      </x:c>
      <x:c r="G56" s="28" t="str">
        <x:f>IFERROR(IF(D56=0,"",E56/F56),"")</x:f>
      </x:c>
      <x:c r="H56" s="26" t="str">
        <x:f>IF(D56=0,"",IFERROR(SUMPRODUCT((T09GSCPageDaily[target_country]=$B56)*(T09GSCPageDaily[language]=$C56)*(T09GSCPageDaily[date]&gt;=$A56)*(T09GSCPageDaily[date]&lt;DATE(YEAR($A56),MONTH($A56)+1,1))*(T09GSCPageDaily[data_state]="final")*T09GSCPageDaily[avg_position]*T09GSCPageDaily[impressions])/F56,""))</x:f>
      </x:c>
      <x:c r="I56" s="18" t="n">
        <x:f>COUNTIFS(T11GA4LandingDaily[target_country],$B56,T11GA4LandingDaily[language],$C56,T11GA4LandingDaily[date],"&gt;="&amp;$A56,T11GA4LandingDaily[date],"&lt;"&amp;DATE(YEAR($A56),MONTH($A56)+1,1),T11GA4LandingDaily[session_channel],"Organic Search",T11GA4LandingDaily[data_quality],"Measured")</x:f>
        <x:v>0</x:v>
      </x:c>
      <x:c r="J56" s="18" t="str">
        <x:f>IF(I56=0,"",SUMIFS(T11GA4LandingDaily[sessions],T11GA4LandingDaily[target_country],$B56,T11GA4LandingDaily[language],$C56,T11GA4LandingDaily[date],"&gt;="&amp;$A56,T11GA4LandingDaily[date],"&lt;"&amp;DATE(YEAR($A56),MONTH($A56)+1,1),T11GA4LandingDaily[session_channel],"Organic Search",T11GA4LandingDaily[data_quality],"Measured"))</x:f>
      </x:c>
      <x:c r="K56" s="24" t="str">
        <x:f>IF(I56=0,"",SUMIFS(T11GA4LandingDaily[engaged_sessions],T11GA4LandingDaily[target_country],$B56,T11GA4LandingDaily[language],$C56,T11GA4LandingDaily[date],"&gt;="&amp;$A56,T11GA4LandingDaily[date],"&lt;"&amp;DATE(YEAR($A56),MONTH($A56)+1,1),T11GA4LandingDaily[session_channel],"Organic Search",T11GA4LandingDaily[data_quality],"Measured"))</x:f>
      </x:c>
      <x:c r="L56" s="28" t="str">
        <x:f>IFERROR(IF(I56=0,"",K56/J56),"")</x:f>
      </x:c>
      <x:c r="M56" s="24" t="str">
        <x:f>IF(I56=0,"",SUMIFS(T11GA4LandingDaily[key_events],T11GA4LandingDaily[target_country],$B56,T11GA4LandingDaily[language],$C56,T11GA4LandingDaily[date],"&gt;="&amp;$A56,T11GA4LandingDaily[date],"&lt;"&amp;DATE(YEAR($A56),MONTH($A56)+1,1),T11GA4LandingDaily[session_channel],"Organic Search",T11GA4LandingDaily[data_quality],"Measured"))</x:f>
      </x:c>
      <x:c r="N56" s="24" t="str">
        <x:f>IF(I56=0,"",SUMIFS(T11GA4LandingDaily[booking_starts],T11GA4LandingDaily[target_country],$B56,T11GA4LandingDaily[language],$C56,T11GA4LandingDaily[date],"&gt;="&amp;$A56,T11GA4LandingDaily[date],"&lt;"&amp;DATE(YEAR($A56),MONTH($A56)+1,1),T11GA4LandingDaily[session_channel],"Organic Search",T11GA4LandingDaily[data_quality],"Measured"))</x:f>
      </x:c>
      <x:c r="O56" s="24" t="str">
        <x:f>IF(I56=0,"",SUMIFS(T11GA4LandingDaily[purchases],T11GA4LandingDaily[target_country],$B56,T11GA4LandingDaily[language],$C56,T11GA4LandingDaily[date],"&gt;="&amp;$A56,T11GA4LandingDaily[date],"&lt;"&amp;DATE(YEAR($A56),MONTH($A56)+1,1),T11GA4LandingDaily[session_channel],"Organic Search",T11GA4LandingDaily[data_quality],"Measured"))</x:f>
      </x:c>
      <x:c r="P56" s="18" t="str">
        <x:f>IF(OR(I56=0,'25_Config'!$B$11=""),"",IF(COUNTIFS(T11GA4LandingDaily[target_country],$B56,T11GA4LandingDaily[language],$C56,T11GA4LandingDaily[date],"&gt;="&amp;$A56,T11GA4LandingDaily[date],"&lt;"&amp;DATE(YEAR($A56),MONTH($A56)+1,1),T11GA4LandingDaily[session_channel],"Organic Search",T11GA4LandingDaily[data_quality],"Measured",T11GA4LandingDaily[currency],"&lt;&gt;"&amp;'25_Config'!$B$11)&gt;0,"",SUMIFS(T11GA4LandingDaily[purchase_revenue],T11GA4LandingDaily[target_country],$B56,T11GA4LandingDaily[language],$C56,T11GA4LandingDaily[date],"&gt;="&amp;$A56,T11GA4LandingDaily[date],"&lt;"&amp;DATE(YEAR($A56),MONTH($A56)+1,1),T11GA4LandingDaily[session_channel],"Organic Search",T11GA4LandingDaily[data_quality],"Measured")))</x:f>
      </x:c>
      <x:c r="Q56" s="18" t="str">
        <x:f>IF(P56="","",'25_Config'!$B$11)</x:f>
      </x:c>
      <x:c r="R56" s="28"/>
      <x:c r="S56" s="18" t="str">
        <x:f>IF(AND(D56=0,I56=0),"Not refreshed","Check completeness, gaps and sample size")</x:f>
        <x:v>Not refreshed</x:v>
      </x:c>
    </x:row>
    <x:row r="57" ht="30" customHeight="1">
      <x:c r="A57" s="22" t="n">
        <x:v>46235</x:v>
      </x:c>
      <x:c r="B57" s="18" t="str">
        <x:v>Spain</x:v>
      </x:c>
      <x:c r="C57" s="18" t="str">
        <x:v>es</x:v>
      </x:c>
      <x:c r="D57" s="18" t="n">
        <x:f>COUNTIFS(T09GSCPageDaily[target_country],$B57,T09GSCPageDaily[language],$C57,T09GSCPageDaily[date],"&gt;="&amp;$A57,T09GSCPageDaily[date],"&lt;"&amp;DATE(YEAR($A57),MONTH($A57)+1,1),T09GSCPageDaily[data_state],"final")</x:f>
        <x:v>0</x:v>
      </x:c>
      <x:c r="E57" s="24" t="str">
        <x:f>IF(D57=0,"",SUMIFS(T09GSCPageDaily[clicks],T09GSCPageDaily[target_country],$B57,T09GSCPageDaily[language],$C57,T09GSCPageDaily[date],"&gt;="&amp;$A57,T09GSCPageDaily[date],"&lt;"&amp;DATE(YEAR($A57),MONTH($A57)+1,1),T09GSCPageDaily[data_state],"final"))</x:f>
      </x:c>
      <x:c r="F57" s="24" t="str">
        <x:f>IF(D57=0,"",SUMIFS(T09GSCPageDaily[impressions],T09GSCPageDaily[target_country],$B57,T09GSCPageDaily[language],$C57,T09GSCPageDaily[date],"&gt;="&amp;$A57,T09GSCPageDaily[date],"&lt;"&amp;DATE(YEAR($A57),MONTH($A57)+1,1),T09GSCPageDaily[data_state],"final"))</x:f>
      </x:c>
      <x:c r="G57" s="28" t="str">
        <x:f>IFERROR(IF(D57=0,"",E57/F57),"")</x:f>
      </x:c>
      <x:c r="H57" s="26" t="str">
        <x:f>IF(D57=0,"",IFERROR(SUMPRODUCT((T09GSCPageDaily[target_country]=$B57)*(T09GSCPageDaily[language]=$C57)*(T09GSCPageDaily[date]&gt;=$A57)*(T09GSCPageDaily[date]&lt;DATE(YEAR($A57),MONTH($A57)+1,1))*(T09GSCPageDaily[data_state]="final")*T09GSCPageDaily[avg_position]*T09GSCPageDaily[impressions])/F57,""))</x:f>
      </x:c>
      <x:c r="I57" s="18" t="n">
        <x:f>COUNTIFS(T11GA4LandingDaily[target_country],$B57,T11GA4LandingDaily[language],$C57,T11GA4LandingDaily[date],"&gt;="&amp;$A57,T11GA4LandingDaily[date],"&lt;"&amp;DATE(YEAR($A57),MONTH($A57)+1,1),T11GA4LandingDaily[session_channel],"Organic Search",T11GA4LandingDaily[data_quality],"Measured")</x:f>
        <x:v>0</x:v>
      </x:c>
      <x:c r="J57" s="18" t="str">
        <x:f>IF(I57=0,"",SUMIFS(T11GA4LandingDaily[sessions],T11GA4LandingDaily[target_country],$B57,T11GA4LandingDaily[language],$C57,T11GA4LandingDaily[date],"&gt;="&amp;$A57,T11GA4LandingDaily[date],"&lt;"&amp;DATE(YEAR($A57),MONTH($A57)+1,1),T11GA4LandingDaily[session_channel],"Organic Search",T11GA4LandingDaily[data_quality],"Measured"))</x:f>
      </x:c>
      <x:c r="K57" s="24" t="str">
        <x:f>IF(I57=0,"",SUMIFS(T11GA4LandingDaily[engaged_sessions],T11GA4LandingDaily[target_country],$B57,T11GA4LandingDaily[language],$C57,T11GA4LandingDaily[date],"&gt;="&amp;$A57,T11GA4LandingDaily[date],"&lt;"&amp;DATE(YEAR($A57),MONTH($A57)+1,1),T11GA4LandingDaily[session_channel],"Organic Search",T11GA4LandingDaily[data_quality],"Measured"))</x:f>
      </x:c>
      <x:c r="L57" s="28" t="str">
        <x:f>IFERROR(IF(I57=0,"",K57/J57),"")</x:f>
      </x:c>
      <x:c r="M57" s="24" t="str">
        <x:f>IF(I57=0,"",SUMIFS(T11GA4LandingDaily[key_events],T11GA4LandingDaily[target_country],$B57,T11GA4LandingDaily[language],$C57,T11GA4LandingDaily[date],"&gt;="&amp;$A57,T11GA4LandingDaily[date],"&lt;"&amp;DATE(YEAR($A57),MONTH($A57)+1,1),T11GA4LandingDaily[session_channel],"Organic Search",T11GA4LandingDaily[data_quality],"Measured"))</x:f>
      </x:c>
      <x:c r="N57" s="24" t="str">
        <x:f>IF(I57=0,"",SUMIFS(T11GA4LandingDaily[booking_starts],T11GA4LandingDaily[target_country],$B57,T11GA4LandingDaily[language],$C57,T11GA4LandingDaily[date],"&gt;="&amp;$A57,T11GA4LandingDaily[date],"&lt;"&amp;DATE(YEAR($A57),MONTH($A57)+1,1),T11GA4LandingDaily[session_channel],"Organic Search",T11GA4LandingDaily[data_quality],"Measured"))</x:f>
      </x:c>
      <x:c r="O57" s="24" t="str">
        <x:f>IF(I57=0,"",SUMIFS(T11GA4LandingDaily[purchases],T11GA4LandingDaily[target_country],$B57,T11GA4LandingDaily[language],$C57,T11GA4LandingDaily[date],"&gt;="&amp;$A57,T11GA4LandingDaily[date],"&lt;"&amp;DATE(YEAR($A57),MONTH($A57)+1,1),T11GA4LandingDaily[session_channel],"Organic Search",T11GA4LandingDaily[data_quality],"Measured"))</x:f>
      </x:c>
      <x:c r="P57" s="18" t="str">
        <x:f>IF(OR(I57=0,'25_Config'!$B$11=""),"",IF(COUNTIFS(T11GA4LandingDaily[target_country],$B57,T11GA4LandingDaily[language],$C57,T11GA4LandingDaily[date],"&gt;="&amp;$A57,T11GA4LandingDaily[date],"&lt;"&amp;DATE(YEAR($A57),MONTH($A57)+1,1),T11GA4LandingDaily[session_channel],"Organic Search",T11GA4LandingDaily[data_quality],"Measured",T11GA4LandingDaily[currency],"&lt;&gt;"&amp;'25_Config'!$B$11)&gt;0,"",SUMIFS(T11GA4LandingDaily[purchase_revenue],T11GA4LandingDaily[target_country],$B57,T11GA4LandingDaily[language],$C57,T11GA4LandingDaily[date],"&gt;="&amp;$A57,T11GA4LandingDaily[date],"&lt;"&amp;DATE(YEAR($A57),MONTH($A57)+1,1),T11GA4LandingDaily[session_channel],"Organic Search",T11GA4LandingDaily[data_quality],"Measured")))</x:f>
      </x:c>
      <x:c r="Q57" s="18" t="str">
        <x:f>IF(P57="","",'25_Config'!$B$11)</x:f>
      </x:c>
      <x:c r="R57" s="28"/>
      <x:c r="S57" s="18" t="str">
        <x:f>IF(AND(D57=0,I57=0),"Not refreshed","Check completeness, gaps and sample size")</x:f>
        <x:v>Not refreshed</x:v>
      </x:c>
    </x:row>
    <x:row r="58" ht="30" customHeight="1">
      <x:c r="A58" s="22" t="n">
        <x:v>46235</x:v>
      </x:c>
      <x:c r="B58" s="18" t="str">
        <x:v>Spain</x:v>
      </x:c>
      <x:c r="C58" s="18" t="str">
        <x:v>en</x:v>
      </x:c>
      <x:c r="D58" s="18" t="n">
        <x:f>COUNTIFS(T09GSCPageDaily[target_country],$B58,T09GSCPageDaily[language],$C58,T09GSCPageDaily[date],"&gt;="&amp;$A58,T09GSCPageDaily[date],"&lt;"&amp;DATE(YEAR($A58),MONTH($A58)+1,1),T09GSCPageDaily[data_state],"final")</x:f>
        <x:v>0</x:v>
      </x:c>
      <x:c r="E58" s="24" t="str">
        <x:f>IF(D58=0,"",SUMIFS(T09GSCPageDaily[clicks],T09GSCPageDaily[target_country],$B58,T09GSCPageDaily[language],$C58,T09GSCPageDaily[date],"&gt;="&amp;$A58,T09GSCPageDaily[date],"&lt;"&amp;DATE(YEAR($A58),MONTH($A58)+1,1),T09GSCPageDaily[data_state],"final"))</x:f>
      </x:c>
      <x:c r="F58" s="24" t="str">
        <x:f>IF(D58=0,"",SUMIFS(T09GSCPageDaily[impressions],T09GSCPageDaily[target_country],$B58,T09GSCPageDaily[language],$C58,T09GSCPageDaily[date],"&gt;="&amp;$A58,T09GSCPageDaily[date],"&lt;"&amp;DATE(YEAR($A58),MONTH($A58)+1,1),T09GSCPageDaily[data_state],"final"))</x:f>
      </x:c>
      <x:c r="G58" s="28" t="str">
        <x:f>IFERROR(IF(D58=0,"",E58/F58),"")</x:f>
      </x:c>
      <x:c r="H58" s="26" t="str">
        <x:f>IF(D58=0,"",IFERROR(SUMPRODUCT((T09GSCPageDaily[target_country]=$B58)*(T09GSCPageDaily[language]=$C58)*(T09GSCPageDaily[date]&gt;=$A58)*(T09GSCPageDaily[date]&lt;DATE(YEAR($A58),MONTH($A58)+1,1))*(T09GSCPageDaily[data_state]="final")*T09GSCPageDaily[avg_position]*T09GSCPageDaily[impressions])/F58,""))</x:f>
      </x:c>
      <x:c r="I58" s="18" t="n">
        <x:f>COUNTIFS(T11GA4LandingDaily[target_country],$B58,T11GA4LandingDaily[language],$C58,T11GA4LandingDaily[date],"&gt;="&amp;$A58,T11GA4LandingDaily[date],"&lt;"&amp;DATE(YEAR($A58),MONTH($A58)+1,1),T11GA4LandingDaily[session_channel],"Organic Search",T11GA4LandingDaily[data_quality],"Measured")</x:f>
        <x:v>0</x:v>
      </x:c>
      <x:c r="J58" s="18" t="str">
        <x:f>IF(I58=0,"",SUMIFS(T11GA4LandingDaily[sessions],T11GA4LandingDaily[target_country],$B58,T11GA4LandingDaily[language],$C58,T11GA4LandingDaily[date],"&gt;="&amp;$A58,T11GA4LandingDaily[date],"&lt;"&amp;DATE(YEAR($A58),MONTH($A58)+1,1),T11GA4LandingDaily[session_channel],"Organic Search",T11GA4LandingDaily[data_quality],"Measured"))</x:f>
      </x:c>
      <x:c r="K58" s="24" t="str">
        <x:f>IF(I58=0,"",SUMIFS(T11GA4LandingDaily[engaged_sessions],T11GA4LandingDaily[target_country],$B58,T11GA4LandingDaily[language],$C58,T11GA4LandingDaily[date],"&gt;="&amp;$A58,T11GA4LandingDaily[date],"&lt;"&amp;DATE(YEAR($A58),MONTH($A58)+1,1),T11GA4LandingDaily[session_channel],"Organic Search",T11GA4LandingDaily[data_quality],"Measured"))</x:f>
      </x:c>
      <x:c r="L58" s="28" t="str">
        <x:f>IFERROR(IF(I58=0,"",K58/J58),"")</x:f>
      </x:c>
      <x:c r="M58" s="24" t="str">
        <x:f>IF(I58=0,"",SUMIFS(T11GA4LandingDaily[key_events],T11GA4LandingDaily[target_country],$B58,T11GA4LandingDaily[language],$C58,T11GA4LandingDaily[date],"&gt;="&amp;$A58,T11GA4LandingDaily[date],"&lt;"&amp;DATE(YEAR($A58),MONTH($A58)+1,1),T11GA4LandingDaily[session_channel],"Organic Search",T11GA4LandingDaily[data_quality],"Measured"))</x:f>
      </x:c>
      <x:c r="N58" s="24" t="str">
        <x:f>IF(I58=0,"",SUMIFS(T11GA4LandingDaily[booking_starts],T11GA4LandingDaily[target_country],$B58,T11GA4LandingDaily[language],$C58,T11GA4LandingDaily[date],"&gt;="&amp;$A58,T11GA4LandingDaily[date],"&lt;"&amp;DATE(YEAR($A58),MONTH($A58)+1,1),T11GA4LandingDaily[session_channel],"Organic Search",T11GA4LandingDaily[data_quality],"Measured"))</x:f>
      </x:c>
      <x:c r="O58" s="24" t="str">
        <x:f>IF(I58=0,"",SUMIFS(T11GA4LandingDaily[purchases],T11GA4LandingDaily[target_country],$B58,T11GA4LandingDaily[language],$C58,T11GA4LandingDaily[date],"&gt;="&amp;$A58,T11GA4LandingDaily[date],"&lt;"&amp;DATE(YEAR($A58),MONTH($A58)+1,1),T11GA4LandingDaily[session_channel],"Organic Search",T11GA4LandingDaily[data_quality],"Measured"))</x:f>
      </x:c>
      <x:c r="P58" s="18" t="str">
        <x:f>IF(OR(I58=0,'25_Config'!$B$11=""),"",IF(COUNTIFS(T11GA4LandingDaily[target_country],$B58,T11GA4LandingDaily[language],$C58,T11GA4LandingDaily[date],"&gt;="&amp;$A58,T11GA4LandingDaily[date],"&lt;"&amp;DATE(YEAR($A58),MONTH($A58)+1,1),T11GA4LandingDaily[session_channel],"Organic Search",T11GA4LandingDaily[data_quality],"Measured",T11GA4LandingDaily[currency],"&lt;&gt;"&amp;'25_Config'!$B$11)&gt;0,"",SUMIFS(T11GA4LandingDaily[purchase_revenue],T11GA4LandingDaily[target_country],$B58,T11GA4LandingDaily[language],$C58,T11GA4LandingDaily[date],"&gt;="&amp;$A58,T11GA4LandingDaily[date],"&lt;"&amp;DATE(YEAR($A58),MONTH($A58)+1,1),T11GA4LandingDaily[session_channel],"Organic Search",T11GA4LandingDaily[data_quality],"Measured")))</x:f>
      </x:c>
      <x:c r="Q58" s="18" t="str">
        <x:f>IF(P58="","",'25_Config'!$B$11)</x:f>
      </x:c>
      <x:c r="R58" s="28"/>
      <x:c r="S58" s="18" t="str">
        <x:f>IF(AND(D58=0,I58=0),"Not refreshed","Check completeness, gaps and sample size")</x:f>
        <x:v>Not refreshed</x:v>
      </x:c>
    </x:row>
    <x:row r="59" ht="30" customHeight="1">
      <x:c r="A59" s="22" t="n">
        <x:v>46235</x:v>
      </x:c>
      <x:c r="B59" s="18" t="str">
        <x:v>Spain</x:v>
      </x:c>
      <x:c r="C59" s="18" t="str">
        <x:v>pt</x:v>
      </x:c>
      <x:c r="D59" s="18" t="n">
        <x:f>COUNTIFS(T09GSCPageDaily[target_country],$B59,T09GSCPageDaily[language],$C59,T09GSCPageDaily[date],"&gt;="&amp;$A59,T09GSCPageDaily[date],"&lt;"&amp;DATE(YEAR($A59),MONTH($A59)+1,1),T09GSCPageDaily[data_state],"final")</x:f>
        <x:v>0</x:v>
      </x:c>
      <x:c r="E59" s="24" t="str">
        <x:f>IF(D59=0,"",SUMIFS(T09GSCPageDaily[clicks],T09GSCPageDaily[target_country],$B59,T09GSCPageDaily[language],$C59,T09GSCPageDaily[date],"&gt;="&amp;$A59,T09GSCPageDaily[date],"&lt;"&amp;DATE(YEAR($A59),MONTH($A59)+1,1),T09GSCPageDaily[data_state],"final"))</x:f>
      </x:c>
      <x:c r="F59" s="24" t="str">
        <x:f>IF(D59=0,"",SUMIFS(T09GSCPageDaily[impressions],T09GSCPageDaily[target_country],$B59,T09GSCPageDaily[language],$C59,T09GSCPageDaily[date],"&gt;="&amp;$A59,T09GSCPageDaily[date],"&lt;"&amp;DATE(YEAR($A59),MONTH($A59)+1,1),T09GSCPageDaily[data_state],"final"))</x:f>
      </x:c>
      <x:c r="G59" s="28" t="str">
        <x:f>IFERROR(IF(D59=0,"",E59/F59),"")</x:f>
      </x:c>
      <x:c r="H59" s="26" t="str">
        <x:f>IF(D59=0,"",IFERROR(SUMPRODUCT((T09GSCPageDaily[target_country]=$B59)*(T09GSCPageDaily[language]=$C59)*(T09GSCPageDaily[date]&gt;=$A59)*(T09GSCPageDaily[date]&lt;DATE(YEAR($A59),MONTH($A59)+1,1))*(T09GSCPageDaily[data_state]="final")*T09GSCPageDaily[avg_position]*T09GSCPageDaily[impressions])/F59,""))</x:f>
      </x:c>
      <x:c r="I59" s="18" t="n">
        <x:f>COUNTIFS(T11GA4LandingDaily[target_country],$B59,T11GA4LandingDaily[language],$C59,T11GA4LandingDaily[date],"&gt;="&amp;$A59,T11GA4LandingDaily[date],"&lt;"&amp;DATE(YEAR($A59),MONTH($A59)+1,1),T11GA4LandingDaily[session_channel],"Organic Search",T11GA4LandingDaily[data_quality],"Measured")</x:f>
        <x:v>0</x:v>
      </x:c>
      <x:c r="J59" s="18" t="str">
        <x:f>IF(I59=0,"",SUMIFS(T11GA4LandingDaily[sessions],T11GA4LandingDaily[target_country],$B59,T11GA4LandingDaily[language],$C59,T11GA4LandingDaily[date],"&gt;="&amp;$A59,T11GA4LandingDaily[date],"&lt;"&amp;DATE(YEAR($A59),MONTH($A59)+1,1),T11GA4LandingDaily[session_channel],"Organic Search",T11GA4LandingDaily[data_quality],"Measured"))</x:f>
      </x:c>
      <x:c r="K59" s="24" t="str">
        <x:f>IF(I59=0,"",SUMIFS(T11GA4LandingDaily[engaged_sessions],T11GA4LandingDaily[target_country],$B59,T11GA4LandingDaily[language],$C59,T11GA4LandingDaily[date],"&gt;="&amp;$A59,T11GA4LandingDaily[date],"&lt;"&amp;DATE(YEAR($A59),MONTH($A59)+1,1),T11GA4LandingDaily[session_channel],"Organic Search",T11GA4LandingDaily[data_quality],"Measured"))</x:f>
      </x:c>
      <x:c r="L59" s="28" t="str">
        <x:f>IFERROR(IF(I59=0,"",K59/J59),"")</x:f>
      </x:c>
      <x:c r="M59" s="24" t="str">
        <x:f>IF(I59=0,"",SUMIFS(T11GA4LandingDaily[key_events],T11GA4LandingDaily[target_country],$B59,T11GA4LandingDaily[language],$C59,T11GA4LandingDaily[date],"&gt;="&amp;$A59,T11GA4LandingDaily[date],"&lt;"&amp;DATE(YEAR($A59),MONTH($A59)+1,1),T11GA4LandingDaily[session_channel],"Organic Search",T11GA4LandingDaily[data_quality],"Measured"))</x:f>
      </x:c>
      <x:c r="N59" s="24" t="str">
        <x:f>IF(I59=0,"",SUMIFS(T11GA4LandingDaily[booking_starts],T11GA4LandingDaily[target_country],$B59,T11GA4LandingDaily[language],$C59,T11GA4LandingDaily[date],"&gt;="&amp;$A59,T11GA4LandingDaily[date],"&lt;"&amp;DATE(YEAR($A59),MONTH($A59)+1,1),T11GA4LandingDaily[session_channel],"Organic Search",T11GA4LandingDaily[data_quality],"Measured"))</x:f>
      </x:c>
      <x:c r="O59" s="24" t="str">
        <x:f>IF(I59=0,"",SUMIFS(T11GA4LandingDaily[purchases],T11GA4LandingDaily[target_country],$B59,T11GA4LandingDaily[language],$C59,T11GA4LandingDaily[date],"&gt;="&amp;$A59,T11GA4LandingDaily[date],"&lt;"&amp;DATE(YEAR($A59),MONTH($A59)+1,1),T11GA4LandingDaily[session_channel],"Organic Search",T11GA4LandingDaily[data_quality],"Measured"))</x:f>
      </x:c>
      <x:c r="P59" s="18" t="str">
        <x:f>IF(OR(I59=0,'25_Config'!$B$11=""),"",IF(COUNTIFS(T11GA4LandingDaily[target_country],$B59,T11GA4LandingDaily[language],$C59,T11GA4LandingDaily[date],"&gt;="&amp;$A59,T11GA4LandingDaily[date],"&lt;"&amp;DATE(YEAR($A59),MONTH($A59)+1,1),T11GA4LandingDaily[session_channel],"Organic Search",T11GA4LandingDaily[data_quality],"Measured",T11GA4LandingDaily[currency],"&lt;&gt;"&amp;'25_Config'!$B$11)&gt;0,"",SUMIFS(T11GA4LandingDaily[purchase_revenue],T11GA4LandingDaily[target_country],$B59,T11GA4LandingDaily[language],$C59,T11GA4LandingDaily[date],"&gt;="&amp;$A59,T11GA4LandingDaily[date],"&lt;"&amp;DATE(YEAR($A59),MONTH($A59)+1,1),T11GA4LandingDaily[session_channel],"Organic Search",T11GA4LandingDaily[data_quality],"Measured")))</x:f>
      </x:c>
      <x:c r="Q59" s="18" t="str">
        <x:f>IF(P59="","",'25_Config'!$B$11)</x:f>
      </x:c>
      <x:c r="R59" s="28"/>
      <x:c r="S59" s="18" t="str">
        <x:f>IF(AND(D59=0,I59=0),"Not refreshed","Check completeness, gaps and sample size")</x:f>
        <x:v>Not refreshed</x:v>
      </x:c>
    </x:row>
    <x:row r="60" ht="30" customHeight="1">
      <x:c r="A60" s="22" t="n">
        <x:v>46235</x:v>
      </x:c>
      <x:c r="B60" s="18" t="str">
        <x:v>Spain</x:v>
      </x:c>
      <x:c r="C60" s="18" t="str">
        <x:v>cs</x:v>
      </x:c>
      <x:c r="D60" s="18" t="n">
        <x:f>COUNTIFS(T09GSCPageDaily[target_country],$B60,T09GSCPageDaily[language],$C60,T09GSCPageDaily[date],"&gt;="&amp;$A60,T09GSCPageDaily[date],"&lt;"&amp;DATE(YEAR($A60),MONTH($A60)+1,1),T09GSCPageDaily[data_state],"final")</x:f>
        <x:v>0</x:v>
      </x:c>
      <x:c r="E60" s="24" t="str">
        <x:f>IF(D60=0,"",SUMIFS(T09GSCPageDaily[clicks],T09GSCPageDaily[target_country],$B60,T09GSCPageDaily[language],$C60,T09GSCPageDaily[date],"&gt;="&amp;$A60,T09GSCPageDaily[date],"&lt;"&amp;DATE(YEAR($A60),MONTH($A60)+1,1),T09GSCPageDaily[data_state],"final"))</x:f>
      </x:c>
      <x:c r="F60" s="24" t="str">
        <x:f>IF(D60=0,"",SUMIFS(T09GSCPageDaily[impressions],T09GSCPageDaily[target_country],$B60,T09GSCPageDaily[language],$C60,T09GSCPageDaily[date],"&gt;="&amp;$A60,T09GSCPageDaily[date],"&lt;"&amp;DATE(YEAR($A60),MONTH($A60)+1,1),T09GSCPageDaily[data_state],"final"))</x:f>
      </x:c>
      <x:c r="G60" s="28" t="str">
        <x:f>IFERROR(IF(D60=0,"",E60/F60),"")</x:f>
      </x:c>
      <x:c r="H60" s="26" t="str">
        <x:f>IF(D60=0,"",IFERROR(SUMPRODUCT((T09GSCPageDaily[target_country]=$B60)*(T09GSCPageDaily[language]=$C60)*(T09GSCPageDaily[date]&gt;=$A60)*(T09GSCPageDaily[date]&lt;DATE(YEAR($A60),MONTH($A60)+1,1))*(T09GSCPageDaily[data_state]="final")*T09GSCPageDaily[avg_position]*T09GSCPageDaily[impressions])/F60,""))</x:f>
      </x:c>
      <x:c r="I60" s="18" t="n">
        <x:f>COUNTIFS(T11GA4LandingDaily[target_country],$B60,T11GA4LandingDaily[language],$C60,T11GA4LandingDaily[date],"&gt;="&amp;$A60,T11GA4LandingDaily[date],"&lt;"&amp;DATE(YEAR($A60),MONTH($A60)+1,1),T11GA4LandingDaily[session_channel],"Organic Search",T11GA4LandingDaily[data_quality],"Measured")</x:f>
        <x:v>0</x:v>
      </x:c>
      <x:c r="J60" s="18" t="str">
        <x:f>IF(I60=0,"",SUMIFS(T11GA4LandingDaily[sessions],T11GA4LandingDaily[target_country],$B60,T11GA4LandingDaily[language],$C60,T11GA4LandingDaily[date],"&gt;="&amp;$A60,T11GA4LandingDaily[date],"&lt;"&amp;DATE(YEAR($A60),MONTH($A60)+1,1),T11GA4LandingDaily[session_channel],"Organic Search",T11GA4LandingDaily[data_quality],"Measured"))</x:f>
      </x:c>
      <x:c r="K60" s="24" t="str">
        <x:f>IF(I60=0,"",SUMIFS(T11GA4LandingDaily[engaged_sessions],T11GA4LandingDaily[target_country],$B60,T11GA4LandingDaily[language],$C60,T11GA4LandingDaily[date],"&gt;="&amp;$A60,T11GA4LandingDaily[date],"&lt;"&amp;DATE(YEAR($A60),MONTH($A60)+1,1),T11GA4LandingDaily[session_channel],"Organic Search",T11GA4LandingDaily[data_quality],"Measured"))</x:f>
      </x:c>
      <x:c r="L60" s="28" t="str">
        <x:f>IFERROR(IF(I60=0,"",K60/J60),"")</x:f>
      </x:c>
      <x:c r="M60" s="24" t="str">
        <x:f>IF(I60=0,"",SUMIFS(T11GA4LandingDaily[key_events],T11GA4LandingDaily[target_country],$B60,T11GA4LandingDaily[language],$C60,T11GA4LandingDaily[date],"&gt;="&amp;$A60,T11GA4LandingDaily[date],"&lt;"&amp;DATE(YEAR($A60),MONTH($A60)+1,1),T11GA4LandingDaily[session_channel],"Organic Search",T11GA4LandingDaily[data_quality],"Measured"))</x:f>
      </x:c>
      <x:c r="N60" s="24" t="str">
        <x:f>IF(I60=0,"",SUMIFS(T11GA4LandingDaily[booking_starts],T11GA4LandingDaily[target_country],$B60,T11GA4LandingDaily[language],$C60,T11GA4LandingDaily[date],"&gt;="&amp;$A60,T11GA4LandingDaily[date],"&lt;"&amp;DATE(YEAR($A60),MONTH($A60)+1,1),T11GA4LandingDaily[session_channel],"Organic Search",T11GA4LandingDaily[data_quality],"Measured"))</x:f>
      </x:c>
      <x:c r="O60" s="24" t="str">
        <x:f>IF(I60=0,"",SUMIFS(T11GA4LandingDaily[purchases],T11GA4LandingDaily[target_country],$B60,T11GA4LandingDaily[language],$C60,T11GA4LandingDaily[date],"&gt;="&amp;$A60,T11GA4LandingDaily[date],"&lt;"&amp;DATE(YEAR($A60),MONTH($A60)+1,1),T11GA4LandingDaily[session_channel],"Organic Search",T11GA4LandingDaily[data_quality],"Measured"))</x:f>
      </x:c>
      <x:c r="P60" s="18" t="str">
        <x:f>IF(OR(I60=0,'25_Config'!$B$11=""),"",IF(COUNTIFS(T11GA4LandingDaily[target_country],$B60,T11GA4LandingDaily[language],$C60,T11GA4LandingDaily[date],"&gt;="&amp;$A60,T11GA4LandingDaily[date],"&lt;"&amp;DATE(YEAR($A60),MONTH($A60)+1,1),T11GA4LandingDaily[session_channel],"Organic Search",T11GA4LandingDaily[data_quality],"Measured",T11GA4LandingDaily[currency],"&lt;&gt;"&amp;'25_Config'!$B$11)&gt;0,"",SUMIFS(T11GA4LandingDaily[purchase_revenue],T11GA4LandingDaily[target_country],$B60,T11GA4LandingDaily[language],$C60,T11GA4LandingDaily[date],"&gt;="&amp;$A60,T11GA4LandingDaily[date],"&lt;"&amp;DATE(YEAR($A60),MONTH($A60)+1,1),T11GA4LandingDaily[session_channel],"Organic Search",T11GA4LandingDaily[data_quality],"Measured")))</x:f>
      </x:c>
      <x:c r="Q60" s="18" t="str">
        <x:f>IF(P60="","",'25_Config'!$B$11)</x:f>
      </x:c>
      <x:c r="R60" s="28"/>
      <x:c r="S60" s="18" t="str">
        <x:f>IF(AND(D60=0,I60=0),"Not refreshed","Check completeness, gaps and sample size")</x:f>
        <x:v>Not refreshed</x:v>
      </x:c>
    </x:row>
    <x:row r="61" ht="30" customHeight="1">
      <x:c r="A61" s="22" t="n">
        <x:v>46235</x:v>
      </x:c>
      <x:c r="B61" s="18" t="str">
        <x:v>Spain</x:v>
      </x:c>
      <x:c r="C61" s="18" t="str">
        <x:v>ro</x:v>
      </x:c>
      <x:c r="D61" s="18" t="n">
        <x:f>COUNTIFS(T09GSCPageDaily[target_country],$B61,T09GSCPageDaily[language],$C61,T09GSCPageDaily[date],"&gt;="&amp;$A61,T09GSCPageDaily[date],"&lt;"&amp;DATE(YEAR($A61),MONTH($A61)+1,1),T09GSCPageDaily[data_state],"final")</x:f>
        <x:v>0</x:v>
      </x:c>
      <x:c r="E61" s="24" t="str">
        <x:f>IF(D61=0,"",SUMIFS(T09GSCPageDaily[clicks],T09GSCPageDaily[target_country],$B61,T09GSCPageDaily[language],$C61,T09GSCPageDaily[date],"&gt;="&amp;$A61,T09GSCPageDaily[date],"&lt;"&amp;DATE(YEAR($A61),MONTH($A61)+1,1),T09GSCPageDaily[data_state],"final"))</x:f>
      </x:c>
      <x:c r="F61" s="24" t="str">
        <x:f>IF(D61=0,"",SUMIFS(T09GSCPageDaily[impressions],T09GSCPageDaily[target_country],$B61,T09GSCPageDaily[language],$C61,T09GSCPageDaily[date],"&gt;="&amp;$A61,T09GSCPageDaily[date],"&lt;"&amp;DATE(YEAR($A61),MONTH($A61)+1,1),T09GSCPageDaily[data_state],"final"))</x:f>
      </x:c>
      <x:c r="G61" s="28" t="str">
        <x:f>IFERROR(IF(D61=0,"",E61/F61),"")</x:f>
      </x:c>
      <x:c r="H61" s="26" t="str">
        <x:f>IF(D61=0,"",IFERROR(SUMPRODUCT((T09GSCPageDaily[target_country]=$B61)*(T09GSCPageDaily[language]=$C61)*(T09GSCPageDaily[date]&gt;=$A61)*(T09GSCPageDaily[date]&lt;DATE(YEAR($A61),MONTH($A61)+1,1))*(T09GSCPageDaily[data_state]="final")*T09GSCPageDaily[avg_position]*T09GSCPageDaily[impressions])/F61,""))</x:f>
      </x:c>
      <x:c r="I61" s="18" t="n">
        <x:f>COUNTIFS(T11GA4LandingDaily[target_country],$B61,T11GA4LandingDaily[language],$C61,T11GA4LandingDaily[date],"&gt;="&amp;$A61,T11GA4LandingDaily[date],"&lt;"&amp;DATE(YEAR($A61),MONTH($A61)+1,1),T11GA4LandingDaily[session_channel],"Organic Search",T11GA4LandingDaily[data_quality],"Measured")</x:f>
        <x:v>0</x:v>
      </x:c>
      <x:c r="J61" s="18" t="str">
        <x:f>IF(I61=0,"",SUMIFS(T11GA4LandingDaily[sessions],T11GA4LandingDaily[target_country],$B61,T11GA4LandingDaily[language],$C61,T11GA4LandingDaily[date],"&gt;="&amp;$A61,T11GA4LandingDaily[date],"&lt;"&amp;DATE(YEAR($A61),MONTH($A61)+1,1),T11GA4LandingDaily[session_channel],"Organic Search",T11GA4LandingDaily[data_quality],"Measured"))</x:f>
      </x:c>
      <x:c r="K61" s="24" t="str">
        <x:f>IF(I61=0,"",SUMIFS(T11GA4LandingDaily[engaged_sessions],T11GA4LandingDaily[target_country],$B61,T11GA4LandingDaily[language],$C61,T11GA4LandingDaily[date],"&gt;="&amp;$A61,T11GA4LandingDaily[date],"&lt;"&amp;DATE(YEAR($A61),MONTH($A61)+1,1),T11GA4LandingDaily[session_channel],"Organic Search",T11GA4LandingDaily[data_quality],"Measured"))</x:f>
      </x:c>
      <x:c r="L61" s="28" t="str">
        <x:f>IFERROR(IF(I61=0,"",K61/J61),"")</x:f>
      </x:c>
      <x:c r="M61" s="24" t="str">
        <x:f>IF(I61=0,"",SUMIFS(T11GA4LandingDaily[key_events],T11GA4LandingDaily[target_country],$B61,T11GA4LandingDaily[language],$C61,T11GA4LandingDaily[date],"&gt;="&amp;$A61,T11GA4LandingDaily[date],"&lt;"&amp;DATE(YEAR($A61),MONTH($A61)+1,1),T11GA4LandingDaily[session_channel],"Organic Search",T11GA4LandingDaily[data_quality],"Measured"))</x:f>
      </x:c>
      <x:c r="N61" s="24" t="str">
        <x:f>IF(I61=0,"",SUMIFS(T11GA4LandingDaily[booking_starts],T11GA4LandingDaily[target_country],$B61,T11GA4LandingDaily[language],$C61,T11GA4LandingDaily[date],"&gt;="&amp;$A61,T11GA4LandingDaily[date],"&lt;"&amp;DATE(YEAR($A61),MONTH($A61)+1,1),T11GA4LandingDaily[session_channel],"Organic Search",T11GA4LandingDaily[data_quality],"Measured"))</x:f>
      </x:c>
      <x:c r="O61" s="24" t="str">
        <x:f>IF(I61=0,"",SUMIFS(T11GA4LandingDaily[purchases],T11GA4LandingDaily[target_country],$B61,T11GA4LandingDaily[language],$C61,T11GA4LandingDaily[date],"&gt;="&amp;$A61,T11GA4LandingDaily[date],"&lt;"&amp;DATE(YEAR($A61),MONTH($A61)+1,1),T11GA4LandingDaily[session_channel],"Organic Search",T11GA4LandingDaily[data_quality],"Measured"))</x:f>
      </x:c>
      <x:c r="P61" s="18" t="str">
        <x:f>IF(OR(I61=0,'25_Config'!$B$11=""),"",IF(COUNTIFS(T11GA4LandingDaily[target_country],$B61,T11GA4LandingDaily[language],$C61,T11GA4LandingDaily[date],"&gt;="&amp;$A61,T11GA4LandingDaily[date],"&lt;"&amp;DATE(YEAR($A61),MONTH($A61)+1,1),T11GA4LandingDaily[session_channel],"Organic Search",T11GA4LandingDaily[data_quality],"Measured",T11GA4LandingDaily[currency],"&lt;&gt;"&amp;'25_Config'!$B$11)&gt;0,"",SUMIFS(T11GA4LandingDaily[purchase_revenue],T11GA4LandingDaily[target_country],$B61,T11GA4LandingDaily[language],$C61,T11GA4LandingDaily[date],"&gt;="&amp;$A61,T11GA4LandingDaily[date],"&lt;"&amp;DATE(YEAR($A61),MONTH($A61)+1,1),T11GA4LandingDaily[session_channel],"Organic Search",T11GA4LandingDaily[data_quality],"Measured")))</x:f>
      </x:c>
      <x:c r="Q61" s="18" t="str">
        <x:f>IF(P61="","",'25_Config'!$B$11)</x:f>
      </x:c>
      <x:c r="R61" s="28"/>
      <x:c r="S61" s="18" t="str">
        <x:f>IF(AND(D61=0,I61=0),"Not refreshed","Check completeness, gaps and sample size")</x:f>
        <x:v>Not refreshed</x:v>
      </x:c>
    </x:row>
    <x:row r="62" ht="30" customHeight="1">
      <x:c r="A62" s="22" t="n">
        <x:v>46235</x:v>
      </x:c>
      <x:c r="B62" s="18" t="str">
        <x:v>Spain</x:v>
      </x:c>
      <x:c r="C62" s="18" t="str">
        <x:v>de</x:v>
      </x:c>
      <x:c r="D62" s="18" t="n">
        <x:f>COUNTIFS(T09GSCPageDaily[target_country],$B62,T09GSCPageDaily[language],$C62,T09GSCPageDaily[date],"&gt;="&amp;$A62,T09GSCPageDaily[date],"&lt;"&amp;DATE(YEAR($A62),MONTH($A62)+1,1),T09GSCPageDaily[data_state],"final")</x:f>
        <x:v>0</x:v>
      </x:c>
      <x:c r="E62" s="24" t="str">
        <x:f>IF(D62=0,"",SUMIFS(T09GSCPageDaily[clicks],T09GSCPageDaily[target_country],$B62,T09GSCPageDaily[language],$C62,T09GSCPageDaily[date],"&gt;="&amp;$A62,T09GSCPageDaily[date],"&lt;"&amp;DATE(YEAR($A62),MONTH($A62)+1,1),T09GSCPageDaily[data_state],"final"))</x:f>
      </x:c>
      <x:c r="F62" s="24" t="str">
        <x:f>IF(D62=0,"",SUMIFS(T09GSCPageDaily[impressions],T09GSCPageDaily[target_country],$B62,T09GSCPageDaily[language],$C62,T09GSCPageDaily[date],"&gt;="&amp;$A62,T09GSCPageDaily[date],"&lt;"&amp;DATE(YEAR($A62),MONTH($A62)+1,1),T09GSCPageDaily[data_state],"final"))</x:f>
      </x:c>
      <x:c r="G62" s="28" t="str">
        <x:f>IFERROR(IF(D62=0,"",E62/F62),"")</x:f>
      </x:c>
      <x:c r="H62" s="26" t="str">
        <x:f>IF(D62=0,"",IFERROR(SUMPRODUCT((T09GSCPageDaily[target_country]=$B62)*(T09GSCPageDaily[language]=$C62)*(T09GSCPageDaily[date]&gt;=$A62)*(T09GSCPageDaily[date]&lt;DATE(YEAR($A62),MONTH($A62)+1,1))*(T09GSCPageDaily[data_state]="final")*T09GSCPageDaily[avg_position]*T09GSCPageDaily[impressions])/F62,""))</x:f>
      </x:c>
      <x:c r="I62" s="18" t="n">
        <x:f>COUNTIFS(T11GA4LandingDaily[target_country],$B62,T11GA4LandingDaily[language],$C62,T11GA4LandingDaily[date],"&gt;="&amp;$A62,T11GA4LandingDaily[date],"&lt;"&amp;DATE(YEAR($A62),MONTH($A62)+1,1),T11GA4LandingDaily[session_channel],"Organic Search",T11GA4LandingDaily[data_quality],"Measured")</x:f>
        <x:v>0</x:v>
      </x:c>
      <x:c r="J62" s="18" t="str">
        <x:f>IF(I62=0,"",SUMIFS(T11GA4LandingDaily[sessions],T11GA4LandingDaily[target_country],$B62,T11GA4LandingDaily[language],$C62,T11GA4LandingDaily[date],"&gt;="&amp;$A62,T11GA4LandingDaily[date],"&lt;"&amp;DATE(YEAR($A62),MONTH($A62)+1,1),T11GA4LandingDaily[session_channel],"Organic Search",T11GA4LandingDaily[data_quality],"Measured"))</x:f>
      </x:c>
      <x:c r="K62" s="24" t="str">
        <x:f>IF(I62=0,"",SUMIFS(T11GA4LandingDaily[engaged_sessions],T11GA4LandingDaily[target_country],$B62,T11GA4LandingDaily[language],$C62,T11GA4LandingDaily[date],"&gt;="&amp;$A62,T11GA4LandingDaily[date],"&lt;"&amp;DATE(YEAR($A62),MONTH($A62)+1,1),T11GA4LandingDaily[session_channel],"Organic Search",T11GA4LandingDaily[data_quality],"Measured"))</x:f>
      </x:c>
      <x:c r="L62" s="28" t="str">
        <x:f>IFERROR(IF(I62=0,"",K62/J62),"")</x:f>
      </x:c>
      <x:c r="M62" s="24" t="str">
        <x:f>IF(I62=0,"",SUMIFS(T11GA4LandingDaily[key_events],T11GA4LandingDaily[target_country],$B62,T11GA4LandingDaily[language],$C62,T11GA4LandingDaily[date],"&gt;="&amp;$A62,T11GA4LandingDaily[date],"&lt;"&amp;DATE(YEAR($A62),MONTH($A62)+1,1),T11GA4LandingDaily[session_channel],"Organic Search",T11GA4LandingDaily[data_quality],"Measured"))</x:f>
      </x:c>
      <x:c r="N62" s="24" t="str">
        <x:f>IF(I62=0,"",SUMIFS(T11GA4LandingDaily[booking_starts],T11GA4LandingDaily[target_country],$B62,T11GA4LandingDaily[language],$C62,T11GA4LandingDaily[date],"&gt;="&amp;$A62,T11GA4LandingDaily[date],"&lt;"&amp;DATE(YEAR($A62),MONTH($A62)+1,1),T11GA4LandingDaily[session_channel],"Organic Search",T11GA4LandingDaily[data_quality],"Measured"))</x:f>
      </x:c>
      <x:c r="O62" s="24" t="str">
        <x:f>IF(I62=0,"",SUMIFS(T11GA4LandingDaily[purchases],T11GA4LandingDaily[target_country],$B62,T11GA4LandingDaily[language],$C62,T11GA4LandingDaily[date],"&gt;="&amp;$A62,T11GA4LandingDaily[date],"&lt;"&amp;DATE(YEAR($A62),MONTH($A62)+1,1),T11GA4LandingDaily[session_channel],"Organic Search",T11GA4LandingDaily[data_quality],"Measured"))</x:f>
      </x:c>
      <x:c r="P62" s="18" t="str">
        <x:f>IF(OR(I62=0,'25_Config'!$B$11=""),"",IF(COUNTIFS(T11GA4LandingDaily[target_country],$B62,T11GA4LandingDaily[language],$C62,T11GA4LandingDaily[date],"&gt;="&amp;$A62,T11GA4LandingDaily[date],"&lt;"&amp;DATE(YEAR($A62),MONTH($A62)+1,1),T11GA4LandingDaily[session_channel],"Organic Search",T11GA4LandingDaily[data_quality],"Measured",T11GA4LandingDaily[currency],"&lt;&gt;"&amp;'25_Config'!$B$11)&gt;0,"",SUMIFS(T11GA4LandingDaily[purchase_revenue],T11GA4LandingDaily[target_country],$B62,T11GA4LandingDaily[language],$C62,T11GA4LandingDaily[date],"&gt;="&amp;$A62,T11GA4LandingDaily[date],"&lt;"&amp;DATE(YEAR($A62),MONTH($A62)+1,1),T11GA4LandingDaily[session_channel],"Organic Search",T11GA4LandingDaily[data_quality],"Measured")))</x:f>
      </x:c>
      <x:c r="Q62" s="18" t="str">
        <x:f>IF(P62="","",'25_Config'!$B$11)</x:f>
      </x:c>
      <x:c r="R62" s="28"/>
      <x:c r="S62" s="18" t="str">
        <x:f>IF(AND(D62=0,I62=0),"Not refreshed","Check completeness, gaps and sample size")</x:f>
        <x:v>Not refreshed</x:v>
      </x:c>
    </x:row>
    <x:row r="63" ht="30" customHeight="1">
      <x:c r="A63" s="22" t="n">
        <x:v>46235</x:v>
      </x:c>
      <x:c r="B63" s="18" t="str">
        <x:v>Romania</x:v>
      </x:c>
      <x:c r="C63" s="18" t="str">
        <x:v>ro</x:v>
      </x:c>
      <x:c r="D63" s="18" t="n">
        <x:f>COUNTIFS(T09GSCPageDaily[target_country],$B63,T09GSCPageDaily[language],$C63,T09GSCPageDaily[date],"&gt;="&amp;$A63,T09GSCPageDaily[date],"&lt;"&amp;DATE(YEAR($A63),MONTH($A63)+1,1),T09GSCPageDaily[data_state],"final")</x:f>
        <x:v>0</x:v>
      </x:c>
      <x:c r="E63" s="24" t="str">
        <x:f>IF(D63=0,"",SUMIFS(T09GSCPageDaily[clicks],T09GSCPageDaily[target_country],$B63,T09GSCPageDaily[language],$C63,T09GSCPageDaily[date],"&gt;="&amp;$A63,T09GSCPageDaily[date],"&lt;"&amp;DATE(YEAR($A63),MONTH($A63)+1,1),T09GSCPageDaily[data_state],"final"))</x:f>
      </x:c>
      <x:c r="F63" s="24" t="str">
        <x:f>IF(D63=0,"",SUMIFS(T09GSCPageDaily[impressions],T09GSCPageDaily[target_country],$B63,T09GSCPageDaily[language],$C63,T09GSCPageDaily[date],"&gt;="&amp;$A63,T09GSCPageDaily[date],"&lt;"&amp;DATE(YEAR($A63),MONTH($A63)+1,1),T09GSCPageDaily[data_state],"final"))</x:f>
      </x:c>
      <x:c r="G63" s="28" t="str">
        <x:f>IFERROR(IF(D63=0,"",E63/F63),"")</x:f>
      </x:c>
      <x:c r="H63" s="26" t="str">
        <x:f>IF(D63=0,"",IFERROR(SUMPRODUCT((T09GSCPageDaily[target_country]=$B63)*(T09GSCPageDaily[language]=$C63)*(T09GSCPageDaily[date]&gt;=$A63)*(T09GSCPageDaily[date]&lt;DATE(YEAR($A63),MONTH($A63)+1,1))*(T09GSCPageDaily[data_state]="final")*T09GSCPageDaily[avg_position]*T09GSCPageDaily[impressions])/F63,""))</x:f>
      </x:c>
      <x:c r="I63" s="18" t="n">
        <x:f>COUNTIFS(T11GA4LandingDaily[target_country],$B63,T11GA4LandingDaily[language],$C63,T11GA4LandingDaily[date],"&gt;="&amp;$A63,T11GA4LandingDaily[date],"&lt;"&amp;DATE(YEAR($A63),MONTH($A63)+1,1),T11GA4LandingDaily[session_channel],"Organic Search",T11GA4LandingDaily[data_quality],"Measured")</x:f>
        <x:v>0</x:v>
      </x:c>
      <x:c r="J63" s="18" t="str">
        <x:f>IF(I63=0,"",SUMIFS(T11GA4LandingDaily[sessions],T11GA4LandingDaily[target_country],$B63,T11GA4LandingDaily[language],$C63,T11GA4LandingDaily[date],"&gt;="&amp;$A63,T11GA4LandingDaily[date],"&lt;"&amp;DATE(YEAR($A63),MONTH($A63)+1,1),T11GA4LandingDaily[session_channel],"Organic Search",T11GA4LandingDaily[data_quality],"Measured"))</x:f>
      </x:c>
      <x:c r="K63" s="24" t="str">
        <x:f>IF(I63=0,"",SUMIFS(T11GA4LandingDaily[engaged_sessions],T11GA4LandingDaily[target_country],$B63,T11GA4LandingDaily[language],$C63,T11GA4LandingDaily[date],"&gt;="&amp;$A63,T11GA4LandingDaily[date],"&lt;"&amp;DATE(YEAR($A63),MONTH($A63)+1,1),T11GA4LandingDaily[session_channel],"Organic Search",T11GA4LandingDaily[data_quality],"Measured"))</x:f>
      </x:c>
      <x:c r="L63" s="28" t="str">
        <x:f>IFERROR(IF(I63=0,"",K63/J63),"")</x:f>
      </x:c>
      <x:c r="M63" s="24" t="str">
        <x:f>IF(I63=0,"",SUMIFS(T11GA4LandingDaily[key_events],T11GA4LandingDaily[target_country],$B63,T11GA4LandingDaily[language],$C63,T11GA4LandingDaily[date],"&gt;="&amp;$A63,T11GA4LandingDaily[date],"&lt;"&amp;DATE(YEAR($A63),MONTH($A63)+1,1),T11GA4LandingDaily[session_channel],"Organic Search",T11GA4LandingDaily[data_quality],"Measured"))</x:f>
      </x:c>
      <x:c r="N63" s="24" t="str">
        <x:f>IF(I63=0,"",SUMIFS(T11GA4LandingDaily[booking_starts],T11GA4LandingDaily[target_country],$B63,T11GA4LandingDaily[language],$C63,T11GA4LandingDaily[date],"&gt;="&amp;$A63,T11GA4LandingDaily[date],"&lt;"&amp;DATE(YEAR($A63),MONTH($A63)+1,1),T11GA4LandingDaily[session_channel],"Organic Search",T11GA4LandingDaily[data_quality],"Measured"))</x:f>
      </x:c>
      <x:c r="O63" s="24" t="str">
        <x:f>IF(I63=0,"",SUMIFS(T11GA4LandingDaily[purchases],T11GA4LandingDaily[target_country],$B63,T11GA4LandingDaily[language],$C63,T11GA4LandingDaily[date],"&gt;="&amp;$A63,T11GA4LandingDaily[date],"&lt;"&amp;DATE(YEAR($A63),MONTH($A63)+1,1),T11GA4LandingDaily[session_channel],"Organic Search",T11GA4LandingDaily[data_quality],"Measured"))</x:f>
      </x:c>
      <x:c r="P63" s="18" t="str">
        <x:f>IF(OR(I63=0,'25_Config'!$B$11=""),"",IF(COUNTIFS(T11GA4LandingDaily[target_country],$B63,T11GA4LandingDaily[language],$C63,T11GA4LandingDaily[date],"&gt;="&amp;$A63,T11GA4LandingDaily[date],"&lt;"&amp;DATE(YEAR($A63),MONTH($A63)+1,1),T11GA4LandingDaily[session_channel],"Organic Search",T11GA4LandingDaily[data_quality],"Measured",T11GA4LandingDaily[currency],"&lt;&gt;"&amp;'25_Config'!$B$11)&gt;0,"",SUMIFS(T11GA4LandingDaily[purchase_revenue],T11GA4LandingDaily[target_country],$B63,T11GA4LandingDaily[language],$C63,T11GA4LandingDaily[date],"&gt;="&amp;$A63,T11GA4LandingDaily[date],"&lt;"&amp;DATE(YEAR($A63),MONTH($A63)+1,1),T11GA4LandingDaily[session_channel],"Organic Search",T11GA4LandingDaily[data_quality],"Measured")))</x:f>
      </x:c>
      <x:c r="Q63" s="18" t="str">
        <x:f>IF(P63="","",'25_Config'!$B$11)</x:f>
      </x:c>
      <x:c r="R63" s="28"/>
      <x:c r="S63" s="18" t="str">
        <x:f>IF(AND(D63=0,I63=0),"Not refreshed","Check completeness, gaps and sample size")</x:f>
        <x:v>Not refreshed</x:v>
      </x:c>
    </x:row>
    <x:row r="64" ht="30" customHeight="1">
      <x:c r="A64" s="22" t="n">
        <x:v>46235</x:v>
      </x:c>
      <x:c r="B64" s="18" t="str">
        <x:v>Romania</x:v>
      </x:c>
      <x:c r="C64" s="18" t="str">
        <x:v>en</x:v>
      </x:c>
      <x:c r="D64" s="18" t="n">
        <x:f>COUNTIFS(T09GSCPageDaily[target_country],$B64,T09GSCPageDaily[language],$C64,T09GSCPageDaily[date],"&gt;="&amp;$A64,T09GSCPageDaily[date],"&lt;"&amp;DATE(YEAR($A64),MONTH($A64)+1,1),T09GSCPageDaily[data_state],"final")</x:f>
        <x:v>0</x:v>
      </x:c>
      <x:c r="E64" s="24" t="str">
        <x:f>IF(D64=0,"",SUMIFS(T09GSCPageDaily[clicks],T09GSCPageDaily[target_country],$B64,T09GSCPageDaily[language],$C64,T09GSCPageDaily[date],"&gt;="&amp;$A64,T09GSCPageDaily[date],"&lt;"&amp;DATE(YEAR($A64),MONTH($A64)+1,1),T09GSCPageDaily[data_state],"final"))</x:f>
      </x:c>
      <x:c r="F64" s="24" t="str">
        <x:f>IF(D64=0,"",SUMIFS(T09GSCPageDaily[impressions],T09GSCPageDaily[target_country],$B64,T09GSCPageDaily[language],$C64,T09GSCPageDaily[date],"&gt;="&amp;$A64,T09GSCPageDaily[date],"&lt;"&amp;DATE(YEAR($A64),MONTH($A64)+1,1),T09GSCPageDaily[data_state],"final"))</x:f>
      </x:c>
      <x:c r="G64" s="28" t="str">
        <x:f>IFERROR(IF(D64=0,"",E64/F64),"")</x:f>
      </x:c>
      <x:c r="H64" s="26" t="str">
        <x:f>IF(D64=0,"",IFERROR(SUMPRODUCT((T09GSCPageDaily[target_country]=$B64)*(T09GSCPageDaily[language]=$C64)*(T09GSCPageDaily[date]&gt;=$A64)*(T09GSCPageDaily[date]&lt;DATE(YEAR($A64),MONTH($A64)+1,1))*(T09GSCPageDaily[data_state]="final")*T09GSCPageDaily[avg_position]*T09GSCPageDaily[impressions])/F64,""))</x:f>
      </x:c>
      <x:c r="I64" s="18" t="n">
        <x:f>COUNTIFS(T11GA4LandingDaily[target_country],$B64,T11GA4LandingDaily[language],$C64,T11GA4LandingDaily[date],"&gt;="&amp;$A64,T11GA4LandingDaily[date],"&lt;"&amp;DATE(YEAR($A64),MONTH($A64)+1,1),T11GA4LandingDaily[session_channel],"Organic Search",T11GA4LandingDaily[data_quality],"Measured")</x:f>
        <x:v>0</x:v>
      </x:c>
      <x:c r="J64" s="18" t="str">
        <x:f>IF(I64=0,"",SUMIFS(T11GA4LandingDaily[sessions],T11GA4LandingDaily[target_country],$B64,T11GA4LandingDaily[language],$C64,T11GA4LandingDaily[date],"&gt;="&amp;$A64,T11GA4LandingDaily[date],"&lt;"&amp;DATE(YEAR($A64),MONTH($A64)+1,1),T11GA4LandingDaily[session_channel],"Organic Search",T11GA4LandingDaily[data_quality],"Measured"))</x:f>
      </x:c>
      <x:c r="K64" s="24" t="str">
        <x:f>IF(I64=0,"",SUMIFS(T11GA4LandingDaily[engaged_sessions],T11GA4LandingDaily[target_country],$B64,T11GA4LandingDaily[language],$C64,T11GA4LandingDaily[date],"&gt;="&amp;$A64,T11GA4LandingDaily[date],"&lt;"&amp;DATE(YEAR($A64),MONTH($A64)+1,1),T11GA4LandingDaily[session_channel],"Organic Search",T11GA4LandingDaily[data_quality],"Measured"))</x:f>
      </x:c>
      <x:c r="L64" s="28" t="str">
        <x:f>IFERROR(IF(I64=0,"",K64/J64),"")</x:f>
      </x:c>
      <x:c r="M64" s="24" t="str">
        <x:f>IF(I64=0,"",SUMIFS(T11GA4LandingDaily[key_events],T11GA4LandingDaily[target_country],$B64,T11GA4LandingDaily[language],$C64,T11GA4LandingDaily[date],"&gt;="&amp;$A64,T11GA4LandingDaily[date],"&lt;"&amp;DATE(YEAR($A64),MONTH($A64)+1,1),T11GA4LandingDaily[session_channel],"Organic Search",T11GA4LandingDaily[data_quality],"Measured"))</x:f>
      </x:c>
      <x:c r="N64" s="24" t="str">
        <x:f>IF(I64=0,"",SUMIFS(T11GA4LandingDaily[booking_starts],T11GA4LandingDaily[target_country],$B64,T11GA4LandingDaily[language],$C64,T11GA4LandingDaily[date],"&gt;="&amp;$A64,T11GA4LandingDaily[date],"&lt;"&amp;DATE(YEAR($A64),MONTH($A64)+1,1),T11GA4LandingDaily[session_channel],"Organic Search",T11GA4LandingDaily[data_quality],"Measured"))</x:f>
      </x:c>
      <x:c r="O64" s="24" t="str">
        <x:f>IF(I64=0,"",SUMIFS(T11GA4LandingDaily[purchases],T11GA4LandingDaily[target_country],$B64,T11GA4LandingDaily[language],$C64,T11GA4LandingDaily[date],"&gt;="&amp;$A64,T11GA4LandingDaily[date],"&lt;"&amp;DATE(YEAR($A64),MONTH($A64)+1,1),T11GA4LandingDaily[session_channel],"Organic Search",T11GA4LandingDaily[data_quality],"Measured"))</x:f>
      </x:c>
      <x:c r="P64" s="18" t="str">
        <x:f>IF(OR(I64=0,'25_Config'!$B$11=""),"",IF(COUNTIFS(T11GA4LandingDaily[target_country],$B64,T11GA4LandingDaily[language],$C64,T11GA4LandingDaily[date],"&gt;="&amp;$A64,T11GA4LandingDaily[date],"&lt;"&amp;DATE(YEAR($A64),MONTH($A64)+1,1),T11GA4LandingDaily[session_channel],"Organic Search",T11GA4LandingDaily[data_quality],"Measured",T11GA4LandingDaily[currency],"&lt;&gt;"&amp;'25_Config'!$B$11)&gt;0,"",SUMIFS(T11GA4LandingDaily[purchase_revenue],T11GA4LandingDaily[target_country],$B64,T11GA4LandingDaily[language],$C64,T11GA4LandingDaily[date],"&gt;="&amp;$A64,T11GA4LandingDaily[date],"&lt;"&amp;DATE(YEAR($A64),MONTH($A64)+1,1),T11GA4LandingDaily[session_channel],"Organic Search",T11GA4LandingDaily[data_quality],"Measured")))</x:f>
      </x:c>
      <x:c r="Q64" s="18" t="str">
        <x:f>IF(P64="","",'25_Config'!$B$11)</x:f>
      </x:c>
      <x:c r="R64" s="28"/>
      <x:c r="S64" s="18" t="str">
        <x:f>IF(AND(D64=0,I64=0),"Not refreshed","Check completeness, gaps and sample size")</x:f>
        <x:v>Not refreshed</x:v>
      </x:c>
    </x:row>
    <x:row r="65" ht="30" customHeight="1">
      <x:c r="A65" s="22" t="n">
        <x:v>46235</x:v>
      </x:c>
      <x:c r="B65" s="18" t="str">
        <x:v>Romania</x:v>
      </x:c>
      <x:c r="C65" s="18" t="str">
        <x:v>pt</x:v>
      </x:c>
      <x:c r="D65" s="18" t="n">
        <x:f>COUNTIFS(T09GSCPageDaily[target_country],$B65,T09GSCPageDaily[language],$C65,T09GSCPageDaily[date],"&gt;="&amp;$A65,T09GSCPageDaily[date],"&lt;"&amp;DATE(YEAR($A65),MONTH($A65)+1,1),T09GSCPageDaily[data_state],"final")</x:f>
        <x:v>0</x:v>
      </x:c>
      <x:c r="E65" s="24" t="str">
        <x:f>IF(D65=0,"",SUMIFS(T09GSCPageDaily[clicks],T09GSCPageDaily[target_country],$B65,T09GSCPageDaily[language],$C65,T09GSCPageDaily[date],"&gt;="&amp;$A65,T09GSCPageDaily[date],"&lt;"&amp;DATE(YEAR($A65),MONTH($A65)+1,1),T09GSCPageDaily[data_state],"final"))</x:f>
      </x:c>
      <x:c r="F65" s="24" t="str">
        <x:f>IF(D65=0,"",SUMIFS(T09GSCPageDaily[impressions],T09GSCPageDaily[target_country],$B65,T09GSCPageDaily[language],$C65,T09GSCPageDaily[date],"&gt;="&amp;$A65,T09GSCPageDaily[date],"&lt;"&amp;DATE(YEAR($A65),MONTH($A65)+1,1),T09GSCPageDaily[data_state],"final"))</x:f>
      </x:c>
      <x:c r="G65" s="28" t="str">
        <x:f>IFERROR(IF(D65=0,"",E65/F65),"")</x:f>
      </x:c>
      <x:c r="H65" s="26" t="str">
        <x:f>IF(D65=0,"",IFERROR(SUMPRODUCT((T09GSCPageDaily[target_country]=$B65)*(T09GSCPageDaily[language]=$C65)*(T09GSCPageDaily[date]&gt;=$A65)*(T09GSCPageDaily[date]&lt;DATE(YEAR($A65),MONTH($A65)+1,1))*(T09GSCPageDaily[data_state]="final")*T09GSCPageDaily[avg_position]*T09GSCPageDaily[impressions])/F65,""))</x:f>
      </x:c>
      <x:c r="I65" s="18" t="n">
        <x:f>COUNTIFS(T11GA4LandingDaily[target_country],$B65,T11GA4LandingDaily[language],$C65,T11GA4LandingDaily[date],"&gt;="&amp;$A65,T11GA4LandingDaily[date],"&lt;"&amp;DATE(YEAR($A65),MONTH($A65)+1,1),T11GA4LandingDaily[session_channel],"Organic Search",T11GA4LandingDaily[data_quality],"Measured")</x:f>
        <x:v>0</x:v>
      </x:c>
      <x:c r="J65" s="18" t="str">
        <x:f>IF(I65=0,"",SUMIFS(T11GA4LandingDaily[sessions],T11GA4LandingDaily[target_country],$B65,T11GA4LandingDaily[language],$C65,T11GA4LandingDaily[date],"&gt;="&amp;$A65,T11GA4LandingDaily[date],"&lt;"&amp;DATE(YEAR($A65),MONTH($A65)+1,1),T11GA4LandingDaily[session_channel],"Organic Search",T11GA4LandingDaily[data_quality],"Measured"))</x:f>
      </x:c>
      <x:c r="K65" s="24" t="str">
        <x:f>IF(I65=0,"",SUMIFS(T11GA4LandingDaily[engaged_sessions],T11GA4LandingDaily[target_country],$B65,T11GA4LandingDaily[language],$C65,T11GA4LandingDaily[date],"&gt;="&amp;$A65,T11GA4LandingDaily[date],"&lt;"&amp;DATE(YEAR($A65),MONTH($A65)+1,1),T11GA4LandingDaily[session_channel],"Organic Search",T11GA4LandingDaily[data_quality],"Measured"))</x:f>
      </x:c>
      <x:c r="L65" s="28" t="str">
        <x:f>IFERROR(IF(I65=0,"",K65/J65),"")</x:f>
      </x:c>
      <x:c r="M65" s="24" t="str">
        <x:f>IF(I65=0,"",SUMIFS(T11GA4LandingDaily[key_events],T11GA4LandingDaily[target_country],$B65,T11GA4LandingDaily[language],$C65,T11GA4LandingDaily[date],"&gt;="&amp;$A65,T11GA4LandingDaily[date],"&lt;"&amp;DATE(YEAR($A65),MONTH($A65)+1,1),T11GA4LandingDaily[session_channel],"Organic Search",T11GA4LandingDaily[data_quality],"Measured"))</x:f>
      </x:c>
      <x:c r="N65" s="24" t="str">
        <x:f>IF(I65=0,"",SUMIFS(T11GA4LandingDaily[booking_starts],T11GA4LandingDaily[target_country],$B65,T11GA4LandingDaily[language],$C65,T11GA4LandingDaily[date],"&gt;="&amp;$A65,T11GA4LandingDaily[date],"&lt;"&amp;DATE(YEAR($A65),MONTH($A65)+1,1),T11GA4LandingDaily[session_channel],"Organic Search",T11GA4LandingDaily[data_quality],"Measured"))</x:f>
      </x:c>
      <x:c r="O65" s="24" t="str">
        <x:f>IF(I65=0,"",SUMIFS(T11GA4LandingDaily[purchases],T11GA4LandingDaily[target_country],$B65,T11GA4LandingDaily[language],$C65,T11GA4LandingDaily[date],"&gt;="&amp;$A65,T11GA4LandingDaily[date],"&lt;"&amp;DATE(YEAR($A65),MONTH($A65)+1,1),T11GA4LandingDaily[session_channel],"Organic Search",T11GA4LandingDaily[data_quality],"Measured"))</x:f>
      </x:c>
      <x:c r="P65" s="18" t="str">
        <x:f>IF(OR(I65=0,'25_Config'!$B$11=""),"",IF(COUNTIFS(T11GA4LandingDaily[target_country],$B65,T11GA4LandingDaily[language],$C65,T11GA4LandingDaily[date],"&gt;="&amp;$A65,T11GA4LandingDaily[date],"&lt;"&amp;DATE(YEAR($A65),MONTH($A65)+1,1),T11GA4LandingDaily[session_channel],"Organic Search",T11GA4LandingDaily[data_quality],"Measured",T11GA4LandingDaily[currency],"&lt;&gt;"&amp;'25_Config'!$B$11)&gt;0,"",SUMIFS(T11GA4LandingDaily[purchase_revenue],T11GA4LandingDaily[target_country],$B65,T11GA4LandingDaily[language],$C65,T11GA4LandingDaily[date],"&gt;="&amp;$A65,T11GA4LandingDaily[date],"&lt;"&amp;DATE(YEAR($A65),MONTH($A65)+1,1),T11GA4LandingDaily[session_channel],"Organic Search",T11GA4LandingDaily[data_quality],"Measured")))</x:f>
      </x:c>
      <x:c r="Q65" s="18" t="str">
        <x:f>IF(P65="","",'25_Config'!$B$11)</x:f>
      </x:c>
      <x:c r="R65" s="28"/>
      <x:c r="S65" s="18" t="str">
        <x:f>IF(AND(D65=0,I65=0),"Not refreshed","Check completeness, gaps and sample size")</x:f>
        <x:v>Not refreshed</x:v>
      </x:c>
    </x:row>
    <x:row r="66" ht="30" customHeight="1">
      <x:c r="A66" s="22" t="n">
        <x:v>46235</x:v>
      </x:c>
      <x:c r="B66" s="18" t="str">
        <x:v>Romania</x:v>
      </x:c>
      <x:c r="C66" s="18" t="str">
        <x:v>es</x:v>
      </x:c>
      <x:c r="D66" s="18" t="n">
        <x:f>COUNTIFS(T09GSCPageDaily[target_country],$B66,T09GSCPageDaily[language],$C66,T09GSCPageDaily[date],"&gt;="&amp;$A66,T09GSCPageDaily[date],"&lt;"&amp;DATE(YEAR($A66),MONTH($A66)+1,1),T09GSCPageDaily[data_state],"final")</x:f>
        <x:v>0</x:v>
      </x:c>
      <x:c r="E66" s="24" t="str">
        <x:f>IF(D66=0,"",SUMIFS(T09GSCPageDaily[clicks],T09GSCPageDaily[target_country],$B66,T09GSCPageDaily[language],$C66,T09GSCPageDaily[date],"&gt;="&amp;$A66,T09GSCPageDaily[date],"&lt;"&amp;DATE(YEAR($A66),MONTH($A66)+1,1),T09GSCPageDaily[data_state],"final"))</x:f>
      </x:c>
      <x:c r="F66" s="24" t="str">
        <x:f>IF(D66=0,"",SUMIFS(T09GSCPageDaily[impressions],T09GSCPageDaily[target_country],$B66,T09GSCPageDaily[language],$C66,T09GSCPageDaily[date],"&gt;="&amp;$A66,T09GSCPageDaily[date],"&lt;"&amp;DATE(YEAR($A66),MONTH($A66)+1,1),T09GSCPageDaily[data_state],"final"))</x:f>
      </x:c>
      <x:c r="G66" s="28" t="str">
        <x:f>IFERROR(IF(D66=0,"",E66/F66),"")</x:f>
      </x:c>
      <x:c r="H66" s="26" t="str">
        <x:f>IF(D66=0,"",IFERROR(SUMPRODUCT((T09GSCPageDaily[target_country]=$B66)*(T09GSCPageDaily[language]=$C66)*(T09GSCPageDaily[date]&gt;=$A66)*(T09GSCPageDaily[date]&lt;DATE(YEAR($A66),MONTH($A66)+1,1))*(T09GSCPageDaily[data_state]="final")*T09GSCPageDaily[avg_position]*T09GSCPageDaily[impressions])/F66,""))</x:f>
      </x:c>
      <x:c r="I66" s="18" t="n">
        <x:f>COUNTIFS(T11GA4LandingDaily[target_country],$B66,T11GA4LandingDaily[language],$C66,T11GA4LandingDaily[date],"&gt;="&amp;$A66,T11GA4LandingDaily[date],"&lt;"&amp;DATE(YEAR($A66),MONTH($A66)+1,1),T11GA4LandingDaily[session_channel],"Organic Search",T11GA4LandingDaily[data_quality],"Measured")</x:f>
        <x:v>0</x:v>
      </x:c>
      <x:c r="J66" s="18" t="str">
        <x:f>IF(I66=0,"",SUMIFS(T11GA4LandingDaily[sessions],T11GA4LandingDaily[target_country],$B66,T11GA4LandingDaily[language],$C66,T11GA4LandingDaily[date],"&gt;="&amp;$A66,T11GA4LandingDaily[date],"&lt;"&amp;DATE(YEAR($A66),MONTH($A66)+1,1),T11GA4LandingDaily[session_channel],"Organic Search",T11GA4LandingDaily[data_quality],"Measured"))</x:f>
      </x:c>
      <x:c r="K66" s="24" t="str">
        <x:f>IF(I66=0,"",SUMIFS(T11GA4LandingDaily[engaged_sessions],T11GA4LandingDaily[target_country],$B66,T11GA4LandingDaily[language],$C66,T11GA4LandingDaily[date],"&gt;="&amp;$A66,T11GA4LandingDaily[date],"&lt;"&amp;DATE(YEAR($A66),MONTH($A66)+1,1),T11GA4LandingDaily[session_channel],"Organic Search",T11GA4LandingDaily[data_quality],"Measured"))</x:f>
      </x:c>
      <x:c r="L66" s="28" t="str">
        <x:f>IFERROR(IF(I66=0,"",K66/J66),"")</x:f>
      </x:c>
      <x:c r="M66" s="24" t="str">
        <x:f>IF(I66=0,"",SUMIFS(T11GA4LandingDaily[key_events],T11GA4LandingDaily[target_country],$B66,T11GA4LandingDaily[language],$C66,T11GA4LandingDaily[date],"&gt;="&amp;$A66,T11GA4LandingDaily[date],"&lt;"&amp;DATE(YEAR($A66),MONTH($A66)+1,1),T11GA4LandingDaily[session_channel],"Organic Search",T11GA4LandingDaily[data_quality],"Measured"))</x:f>
      </x:c>
      <x:c r="N66" s="24" t="str">
        <x:f>IF(I66=0,"",SUMIFS(T11GA4LandingDaily[booking_starts],T11GA4LandingDaily[target_country],$B66,T11GA4LandingDaily[language],$C66,T11GA4LandingDaily[date],"&gt;="&amp;$A66,T11GA4LandingDaily[date],"&lt;"&amp;DATE(YEAR($A66),MONTH($A66)+1,1),T11GA4LandingDaily[session_channel],"Organic Search",T11GA4LandingDaily[data_quality],"Measured"))</x:f>
      </x:c>
      <x:c r="O66" s="24" t="str">
        <x:f>IF(I66=0,"",SUMIFS(T11GA4LandingDaily[purchases],T11GA4LandingDaily[target_country],$B66,T11GA4LandingDaily[language],$C66,T11GA4LandingDaily[date],"&gt;="&amp;$A66,T11GA4LandingDaily[date],"&lt;"&amp;DATE(YEAR($A66),MONTH($A66)+1,1),T11GA4LandingDaily[session_channel],"Organic Search",T11GA4LandingDaily[data_quality],"Measured"))</x:f>
      </x:c>
      <x:c r="P66" s="18" t="str">
        <x:f>IF(OR(I66=0,'25_Config'!$B$11=""),"",IF(COUNTIFS(T11GA4LandingDaily[target_country],$B66,T11GA4LandingDaily[language],$C66,T11GA4LandingDaily[date],"&gt;="&amp;$A66,T11GA4LandingDaily[date],"&lt;"&amp;DATE(YEAR($A66),MONTH($A66)+1,1),T11GA4LandingDaily[session_channel],"Organic Search",T11GA4LandingDaily[data_quality],"Measured",T11GA4LandingDaily[currency],"&lt;&gt;"&amp;'25_Config'!$B$11)&gt;0,"",SUMIFS(T11GA4LandingDaily[purchase_revenue],T11GA4LandingDaily[target_country],$B66,T11GA4LandingDaily[language],$C66,T11GA4LandingDaily[date],"&gt;="&amp;$A66,T11GA4LandingDaily[date],"&lt;"&amp;DATE(YEAR($A66),MONTH($A66)+1,1),T11GA4LandingDaily[session_channel],"Organic Search",T11GA4LandingDaily[data_quality],"Measured")))</x:f>
      </x:c>
      <x:c r="Q66" s="18" t="str">
        <x:f>IF(P66="","",'25_Config'!$B$11)</x:f>
      </x:c>
      <x:c r="R66" s="28"/>
      <x:c r="S66" s="18" t="str">
        <x:f>IF(AND(D66=0,I66=0),"Not refreshed","Check completeness, gaps and sample size")</x:f>
        <x:v>Not refreshed</x:v>
      </x:c>
    </x:row>
    <x:row r="67" ht="30" customHeight="1">
      <x:c r="A67" s="22" t="n">
        <x:v>46235</x:v>
      </x:c>
      <x:c r="B67" s="18" t="str">
        <x:v>Romania</x:v>
      </x:c>
      <x:c r="C67" s="18" t="str">
        <x:v>cs</x:v>
      </x:c>
      <x:c r="D67" s="18" t="n">
        <x:f>COUNTIFS(T09GSCPageDaily[target_country],$B67,T09GSCPageDaily[language],$C67,T09GSCPageDaily[date],"&gt;="&amp;$A67,T09GSCPageDaily[date],"&lt;"&amp;DATE(YEAR($A67),MONTH($A67)+1,1),T09GSCPageDaily[data_state],"final")</x:f>
        <x:v>0</x:v>
      </x:c>
      <x:c r="E67" s="24" t="str">
        <x:f>IF(D67=0,"",SUMIFS(T09GSCPageDaily[clicks],T09GSCPageDaily[target_country],$B67,T09GSCPageDaily[language],$C67,T09GSCPageDaily[date],"&gt;="&amp;$A67,T09GSCPageDaily[date],"&lt;"&amp;DATE(YEAR($A67),MONTH($A67)+1,1),T09GSCPageDaily[data_state],"final"))</x:f>
      </x:c>
      <x:c r="F67" s="24" t="str">
        <x:f>IF(D67=0,"",SUMIFS(T09GSCPageDaily[impressions],T09GSCPageDaily[target_country],$B67,T09GSCPageDaily[language],$C67,T09GSCPageDaily[date],"&gt;="&amp;$A67,T09GSCPageDaily[date],"&lt;"&amp;DATE(YEAR($A67),MONTH($A67)+1,1),T09GSCPageDaily[data_state],"final"))</x:f>
      </x:c>
      <x:c r="G67" s="28" t="str">
        <x:f>IFERROR(IF(D67=0,"",E67/F67),"")</x:f>
      </x:c>
      <x:c r="H67" s="26" t="str">
        <x:f>IF(D67=0,"",IFERROR(SUMPRODUCT((T09GSCPageDaily[target_country]=$B67)*(T09GSCPageDaily[language]=$C67)*(T09GSCPageDaily[date]&gt;=$A67)*(T09GSCPageDaily[date]&lt;DATE(YEAR($A67),MONTH($A67)+1,1))*(T09GSCPageDaily[data_state]="final")*T09GSCPageDaily[avg_position]*T09GSCPageDaily[impressions])/F67,""))</x:f>
      </x:c>
      <x:c r="I67" s="18" t="n">
        <x:f>COUNTIFS(T11GA4LandingDaily[target_country],$B67,T11GA4LandingDaily[language],$C67,T11GA4LandingDaily[date],"&gt;="&amp;$A67,T11GA4LandingDaily[date],"&lt;"&amp;DATE(YEAR($A67),MONTH($A67)+1,1),T11GA4LandingDaily[session_channel],"Organic Search",T11GA4LandingDaily[data_quality],"Measured")</x:f>
        <x:v>0</x:v>
      </x:c>
      <x:c r="J67" s="18" t="str">
        <x:f>IF(I67=0,"",SUMIFS(T11GA4LandingDaily[sessions],T11GA4LandingDaily[target_country],$B67,T11GA4LandingDaily[language],$C67,T11GA4LandingDaily[date],"&gt;="&amp;$A67,T11GA4LandingDaily[date],"&lt;"&amp;DATE(YEAR($A67),MONTH($A67)+1,1),T11GA4LandingDaily[session_channel],"Organic Search",T11GA4LandingDaily[data_quality],"Measured"))</x:f>
      </x:c>
      <x:c r="K67" s="24" t="str">
        <x:f>IF(I67=0,"",SUMIFS(T11GA4LandingDaily[engaged_sessions],T11GA4LandingDaily[target_country],$B67,T11GA4LandingDaily[language],$C67,T11GA4LandingDaily[date],"&gt;="&amp;$A67,T11GA4LandingDaily[date],"&lt;"&amp;DATE(YEAR($A67),MONTH($A67)+1,1),T11GA4LandingDaily[session_channel],"Organic Search",T11GA4LandingDaily[data_quality],"Measured"))</x:f>
      </x:c>
      <x:c r="L67" s="28" t="str">
        <x:f>IFERROR(IF(I67=0,"",K67/J67),"")</x:f>
      </x:c>
      <x:c r="M67" s="24" t="str">
        <x:f>IF(I67=0,"",SUMIFS(T11GA4LandingDaily[key_events],T11GA4LandingDaily[target_country],$B67,T11GA4LandingDaily[language],$C67,T11GA4LandingDaily[date],"&gt;="&amp;$A67,T11GA4LandingDaily[date],"&lt;"&amp;DATE(YEAR($A67),MONTH($A67)+1,1),T11GA4LandingDaily[session_channel],"Organic Search",T11GA4LandingDaily[data_quality],"Measured"))</x:f>
      </x:c>
      <x:c r="N67" s="24" t="str">
        <x:f>IF(I67=0,"",SUMIFS(T11GA4LandingDaily[booking_starts],T11GA4LandingDaily[target_country],$B67,T11GA4LandingDaily[language],$C67,T11GA4LandingDaily[date],"&gt;="&amp;$A67,T11GA4LandingDaily[date],"&lt;"&amp;DATE(YEAR($A67),MONTH($A67)+1,1),T11GA4LandingDaily[session_channel],"Organic Search",T11GA4LandingDaily[data_quality],"Measured"))</x:f>
      </x:c>
      <x:c r="O67" s="24" t="str">
        <x:f>IF(I67=0,"",SUMIFS(T11GA4LandingDaily[purchases],T11GA4LandingDaily[target_country],$B67,T11GA4LandingDaily[language],$C67,T11GA4LandingDaily[date],"&gt;="&amp;$A67,T11GA4LandingDaily[date],"&lt;"&amp;DATE(YEAR($A67),MONTH($A67)+1,1),T11GA4LandingDaily[session_channel],"Organic Search",T11GA4LandingDaily[data_quality],"Measured"))</x:f>
      </x:c>
      <x:c r="P67" s="18" t="str">
        <x:f>IF(OR(I67=0,'25_Config'!$B$11=""),"",IF(COUNTIFS(T11GA4LandingDaily[target_country],$B67,T11GA4LandingDaily[language],$C67,T11GA4LandingDaily[date],"&gt;="&amp;$A67,T11GA4LandingDaily[date],"&lt;"&amp;DATE(YEAR($A67),MONTH($A67)+1,1),T11GA4LandingDaily[session_channel],"Organic Search",T11GA4LandingDaily[data_quality],"Measured",T11GA4LandingDaily[currency],"&lt;&gt;"&amp;'25_Config'!$B$11)&gt;0,"",SUMIFS(T11GA4LandingDaily[purchase_revenue],T11GA4LandingDaily[target_country],$B67,T11GA4LandingDaily[language],$C67,T11GA4LandingDaily[date],"&gt;="&amp;$A67,T11GA4LandingDaily[date],"&lt;"&amp;DATE(YEAR($A67),MONTH($A67)+1,1),T11GA4LandingDaily[session_channel],"Organic Search",T11GA4LandingDaily[data_quality],"Measured")))</x:f>
      </x:c>
      <x:c r="Q67" s="18" t="str">
        <x:f>IF(P67="","",'25_Config'!$B$11)</x:f>
      </x:c>
      <x:c r="R67" s="28"/>
      <x:c r="S67" s="18" t="str">
        <x:f>IF(AND(D67=0,I67=0),"Not refreshed","Check completeness, gaps and sample size")</x:f>
        <x:v>Not refreshed</x:v>
      </x:c>
    </x:row>
    <x:row r="68" ht="30" customHeight="1">
      <x:c r="A68" s="22" t="n">
        <x:v>46235</x:v>
      </x:c>
      <x:c r="B68" s="18" t="str">
        <x:v>Romania</x:v>
      </x:c>
      <x:c r="C68" s="18" t="str">
        <x:v>de</x:v>
      </x:c>
      <x:c r="D68" s="18" t="n">
        <x:f>COUNTIFS(T09GSCPageDaily[target_country],$B68,T09GSCPageDaily[language],$C68,T09GSCPageDaily[date],"&gt;="&amp;$A68,T09GSCPageDaily[date],"&lt;"&amp;DATE(YEAR($A68),MONTH($A68)+1,1),T09GSCPageDaily[data_state],"final")</x:f>
        <x:v>0</x:v>
      </x:c>
      <x:c r="E68" s="24" t="str">
        <x:f>IF(D68=0,"",SUMIFS(T09GSCPageDaily[clicks],T09GSCPageDaily[target_country],$B68,T09GSCPageDaily[language],$C68,T09GSCPageDaily[date],"&gt;="&amp;$A68,T09GSCPageDaily[date],"&lt;"&amp;DATE(YEAR($A68),MONTH($A68)+1,1),T09GSCPageDaily[data_state],"final"))</x:f>
      </x:c>
      <x:c r="F68" s="24" t="str">
        <x:f>IF(D68=0,"",SUMIFS(T09GSCPageDaily[impressions],T09GSCPageDaily[target_country],$B68,T09GSCPageDaily[language],$C68,T09GSCPageDaily[date],"&gt;="&amp;$A68,T09GSCPageDaily[date],"&lt;"&amp;DATE(YEAR($A68),MONTH($A68)+1,1),T09GSCPageDaily[data_state],"final"))</x:f>
      </x:c>
      <x:c r="G68" s="28" t="str">
        <x:f>IFERROR(IF(D68=0,"",E68/F68),"")</x:f>
      </x:c>
      <x:c r="H68" s="26" t="str">
        <x:f>IF(D68=0,"",IFERROR(SUMPRODUCT((T09GSCPageDaily[target_country]=$B68)*(T09GSCPageDaily[language]=$C68)*(T09GSCPageDaily[date]&gt;=$A68)*(T09GSCPageDaily[date]&lt;DATE(YEAR($A68),MONTH($A68)+1,1))*(T09GSCPageDaily[data_state]="final")*T09GSCPageDaily[avg_position]*T09GSCPageDaily[impressions])/F68,""))</x:f>
      </x:c>
      <x:c r="I68" s="18" t="n">
        <x:f>COUNTIFS(T11GA4LandingDaily[target_country],$B68,T11GA4LandingDaily[language],$C68,T11GA4LandingDaily[date],"&gt;="&amp;$A68,T11GA4LandingDaily[date],"&lt;"&amp;DATE(YEAR($A68),MONTH($A68)+1,1),T11GA4LandingDaily[session_channel],"Organic Search",T11GA4LandingDaily[data_quality],"Measured")</x:f>
        <x:v>0</x:v>
      </x:c>
      <x:c r="J68" s="18" t="str">
        <x:f>IF(I68=0,"",SUMIFS(T11GA4LandingDaily[sessions],T11GA4LandingDaily[target_country],$B68,T11GA4LandingDaily[language],$C68,T11GA4LandingDaily[date],"&gt;="&amp;$A68,T11GA4LandingDaily[date],"&lt;"&amp;DATE(YEAR($A68),MONTH($A68)+1,1),T11GA4LandingDaily[session_channel],"Organic Search",T11GA4LandingDaily[data_quality],"Measured"))</x:f>
      </x:c>
      <x:c r="K68" s="24" t="str">
        <x:f>IF(I68=0,"",SUMIFS(T11GA4LandingDaily[engaged_sessions],T11GA4LandingDaily[target_country],$B68,T11GA4LandingDaily[language],$C68,T11GA4LandingDaily[date],"&gt;="&amp;$A68,T11GA4LandingDaily[date],"&lt;"&amp;DATE(YEAR($A68),MONTH($A68)+1,1),T11GA4LandingDaily[session_channel],"Organic Search",T11GA4LandingDaily[data_quality],"Measured"))</x:f>
      </x:c>
      <x:c r="L68" s="28" t="str">
        <x:f>IFERROR(IF(I68=0,"",K68/J68),"")</x:f>
      </x:c>
      <x:c r="M68" s="24" t="str">
        <x:f>IF(I68=0,"",SUMIFS(T11GA4LandingDaily[key_events],T11GA4LandingDaily[target_country],$B68,T11GA4LandingDaily[language],$C68,T11GA4LandingDaily[date],"&gt;="&amp;$A68,T11GA4LandingDaily[date],"&lt;"&amp;DATE(YEAR($A68),MONTH($A68)+1,1),T11GA4LandingDaily[session_channel],"Organic Search",T11GA4LandingDaily[data_quality],"Measured"))</x:f>
      </x:c>
      <x:c r="N68" s="24" t="str">
        <x:f>IF(I68=0,"",SUMIFS(T11GA4LandingDaily[booking_starts],T11GA4LandingDaily[target_country],$B68,T11GA4LandingDaily[language],$C68,T11GA4LandingDaily[date],"&gt;="&amp;$A68,T11GA4LandingDaily[date],"&lt;"&amp;DATE(YEAR($A68),MONTH($A68)+1,1),T11GA4LandingDaily[session_channel],"Organic Search",T11GA4LandingDaily[data_quality],"Measured"))</x:f>
      </x:c>
      <x:c r="O68" s="24" t="str">
        <x:f>IF(I68=0,"",SUMIFS(T11GA4LandingDaily[purchases],T11GA4LandingDaily[target_country],$B68,T11GA4LandingDaily[language],$C68,T11GA4LandingDaily[date],"&gt;="&amp;$A68,T11GA4LandingDaily[date],"&lt;"&amp;DATE(YEAR($A68),MONTH($A68)+1,1),T11GA4LandingDaily[session_channel],"Organic Search",T11GA4LandingDaily[data_quality],"Measured"))</x:f>
      </x:c>
      <x:c r="P68" s="18" t="str">
        <x:f>IF(OR(I68=0,'25_Config'!$B$11=""),"",IF(COUNTIFS(T11GA4LandingDaily[target_country],$B68,T11GA4LandingDaily[language],$C68,T11GA4LandingDaily[date],"&gt;="&amp;$A68,T11GA4LandingDaily[date],"&lt;"&amp;DATE(YEAR($A68),MONTH($A68)+1,1),T11GA4LandingDaily[session_channel],"Organic Search",T11GA4LandingDaily[data_quality],"Measured",T11GA4LandingDaily[currency],"&lt;&gt;"&amp;'25_Config'!$B$11)&gt;0,"",SUMIFS(T11GA4LandingDaily[purchase_revenue],T11GA4LandingDaily[target_country],$B68,T11GA4LandingDaily[language],$C68,T11GA4LandingDaily[date],"&gt;="&amp;$A68,T11GA4LandingDaily[date],"&lt;"&amp;DATE(YEAR($A68),MONTH($A68)+1,1),T11GA4LandingDaily[session_channel],"Organic Search",T11GA4LandingDaily[data_quality],"Measured")))</x:f>
      </x:c>
      <x:c r="Q68" s="18" t="str">
        <x:f>IF(P68="","",'25_Config'!$B$11)</x:f>
      </x:c>
      <x:c r="R68" s="28"/>
      <x:c r="S68" s="18" t="str">
        <x:f>IF(AND(D68=0,I68=0),"Not refreshed","Check completeness, gaps and sample size")</x:f>
        <x:v>Not refreshed</x:v>
      </x:c>
    </x:row>
    <x:row r="69" ht="30" customHeight="1">
      <x:c r="A69" s="22" t="n">
        <x:v>46235</x:v>
      </x:c>
      <x:c r="B69" s="18" t="str">
        <x:v>Brazil</x:v>
      </x:c>
      <x:c r="C69" s="18" t="str">
        <x:v>pt</x:v>
      </x:c>
      <x:c r="D69" s="18" t="n">
        <x:f>COUNTIFS(T09GSCPageDaily[target_country],$B69,T09GSCPageDaily[language],$C69,T09GSCPageDaily[date],"&gt;="&amp;$A69,T09GSCPageDaily[date],"&lt;"&amp;DATE(YEAR($A69),MONTH($A69)+1,1),T09GSCPageDaily[data_state],"final")</x:f>
        <x:v>0</x:v>
      </x:c>
      <x:c r="E69" s="24" t="str">
        <x:f>IF(D69=0,"",SUMIFS(T09GSCPageDaily[clicks],T09GSCPageDaily[target_country],$B69,T09GSCPageDaily[language],$C69,T09GSCPageDaily[date],"&gt;="&amp;$A69,T09GSCPageDaily[date],"&lt;"&amp;DATE(YEAR($A69),MONTH($A69)+1,1),T09GSCPageDaily[data_state],"final"))</x:f>
      </x:c>
      <x:c r="F69" s="24" t="str">
        <x:f>IF(D69=0,"",SUMIFS(T09GSCPageDaily[impressions],T09GSCPageDaily[target_country],$B69,T09GSCPageDaily[language],$C69,T09GSCPageDaily[date],"&gt;="&amp;$A69,T09GSCPageDaily[date],"&lt;"&amp;DATE(YEAR($A69),MONTH($A69)+1,1),T09GSCPageDaily[data_state],"final"))</x:f>
      </x:c>
      <x:c r="G69" s="28" t="str">
        <x:f>IFERROR(IF(D69=0,"",E69/F69),"")</x:f>
      </x:c>
      <x:c r="H69" s="26" t="str">
        <x:f>IF(D69=0,"",IFERROR(SUMPRODUCT((T09GSCPageDaily[target_country]=$B69)*(T09GSCPageDaily[language]=$C69)*(T09GSCPageDaily[date]&gt;=$A69)*(T09GSCPageDaily[date]&lt;DATE(YEAR($A69),MONTH($A69)+1,1))*(T09GSCPageDaily[data_state]="final")*T09GSCPageDaily[avg_position]*T09GSCPageDaily[impressions])/F69,""))</x:f>
      </x:c>
      <x:c r="I69" s="18" t="n">
        <x:f>COUNTIFS(T11GA4LandingDaily[target_country],$B69,T11GA4LandingDaily[language],$C69,T11GA4LandingDaily[date],"&gt;="&amp;$A69,T11GA4LandingDaily[date],"&lt;"&amp;DATE(YEAR($A69),MONTH($A69)+1,1),T11GA4LandingDaily[session_channel],"Organic Search",T11GA4LandingDaily[data_quality],"Measured")</x:f>
        <x:v>0</x:v>
      </x:c>
      <x:c r="J69" s="18" t="str">
        <x:f>IF(I69=0,"",SUMIFS(T11GA4LandingDaily[sessions],T11GA4LandingDaily[target_country],$B69,T11GA4LandingDaily[language],$C69,T11GA4LandingDaily[date],"&gt;="&amp;$A69,T11GA4LandingDaily[date],"&lt;"&amp;DATE(YEAR($A69),MONTH($A69)+1,1),T11GA4LandingDaily[session_channel],"Organic Search",T11GA4LandingDaily[data_quality],"Measured"))</x:f>
      </x:c>
      <x:c r="K69" s="24" t="str">
        <x:f>IF(I69=0,"",SUMIFS(T11GA4LandingDaily[engaged_sessions],T11GA4LandingDaily[target_country],$B69,T11GA4LandingDaily[language],$C69,T11GA4LandingDaily[date],"&gt;="&amp;$A69,T11GA4LandingDaily[date],"&lt;"&amp;DATE(YEAR($A69),MONTH($A69)+1,1),T11GA4LandingDaily[session_channel],"Organic Search",T11GA4LandingDaily[data_quality],"Measured"))</x:f>
      </x:c>
      <x:c r="L69" s="28" t="str">
        <x:f>IFERROR(IF(I69=0,"",K69/J69),"")</x:f>
      </x:c>
      <x:c r="M69" s="24" t="str">
        <x:f>IF(I69=0,"",SUMIFS(T11GA4LandingDaily[key_events],T11GA4LandingDaily[target_country],$B69,T11GA4LandingDaily[language],$C69,T11GA4LandingDaily[date],"&gt;="&amp;$A69,T11GA4LandingDaily[date],"&lt;"&amp;DATE(YEAR($A69),MONTH($A69)+1,1),T11GA4LandingDaily[session_channel],"Organic Search",T11GA4LandingDaily[data_quality],"Measured"))</x:f>
      </x:c>
      <x:c r="N69" s="24" t="str">
        <x:f>IF(I69=0,"",SUMIFS(T11GA4LandingDaily[booking_starts],T11GA4LandingDaily[target_country],$B69,T11GA4LandingDaily[language],$C69,T11GA4LandingDaily[date],"&gt;="&amp;$A69,T11GA4LandingDaily[date],"&lt;"&amp;DATE(YEAR($A69),MONTH($A69)+1,1),T11GA4LandingDaily[session_channel],"Organic Search",T11GA4LandingDaily[data_quality],"Measured"))</x:f>
      </x:c>
      <x:c r="O69" s="24" t="str">
        <x:f>IF(I69=0,"",SUMIFS(T11GA4LandingDaily[purchases],T11GA4LandingDaily[target_country],$B69,T11GA4LandingDaily[language],$C69,T11GA4LandingDaily[date],"&gt;="&amp;$A69,T11GA4LandingDaily[date],"&lt;"&amp;DATE(YEAR($A69),MONTH($A69)+1,1),T11GA4LandingDaily[session_channel],"Organic Search",T11GA4LandingDaily[data_quality],"Measured"))</x:f>
      </x:c>
      <x:c r="P69" s="18" t="str">
        <x:f>IF(OR(I69=0,'25_Config'!$B$11=""),"",IF(COUNTIFS(T11GA4LandingDaily[target_country],$B69,T11GA4LandingDaily[language],$C69,T11GA4LandingDaily[date],"&gt;="&amp;$A69,T11GA4LandingDaily[date],"&lt;"&amp;DATE(YEAR($A69),MONTH($A69)+1,1),T11GA4LandingDaily[session_channel],"Organic Search",T11GA4LandingDaily[data_quality],"Measured",T11GA4LandingDaily[currency],"&lt;&gt;"&amp;'25_Config'!$B$11)&gt;0,"",SUMIFS(T11GA4LandingDaily[purchase_revenue],T11GA4LandingDaily[target_country],$B69,T11GA4LandingDaily[language],$C69,T11GA4LandingDaily[date],"&gt;="&amp;$A69,T11GA4LandingDaily[date],"&lt;"&amp;DATE(YEAR($A69),MONTH($A69)+1,1),T11GA4LandingDaily[session_channel],"Organic Search",T11GA4LandingDaily[data_quality],"Measured")))</x:f>
      </x:c>
      <x:c r="Q69" s="18" t="str">
        <x:f>IF(P69="","",'25_Config'!$B$11)</x:f>
      </x:c>
      <x:c r="R69" s="28"/>
      <x:c r="S69" s="18" t="str">
        <x:f>IF(AND(D69=0,I69=0),"Not refreshed","Check completeness, gaps and sample size")</x:f>
        <x:v>Not refreshed</x:v>
      </x:c>
    </x:row>
    <x:row r="70" ht="30" customHeight="1">
      <x:c r="A70" s="22" t="n">
        <x:v>46235</x:v>
      </x:c>
      <x:c r="B70" s="18" t="str">
        <x:v>Brazil</x:v>
      </x:c>
      <x:c r="C70" s="18" t="str">
        <x:v>en</x:v>
      </x:c>
      <x:c r="D70" s="18" t="n">
        <x:f>COUNTIFS(T09GSCPageDaily[target_country],$B70,T09GSCPageDaily[language],$C70,T09GSCPageDaily[date],"&gt;="&amp;$A70,T09GSCPageDaily[date],"&lt;"&amp;DATE(YEAR($A70),MONTH($A70)+1,1),T09GSCPageDaily[data_state],"final")</x:f>
        <x:v>0</x:v>
      </x:c>
      <x:c r="E70" s="24" t="str">
        <x:f>IF(D70=0,"",SUMIFS(T09GSCPageDaily[clicks],T09GSCPageDaily[target_country],$B70,T09GSCPageDaily[language],$C70,T09GSCPageDaily[date],"&gt;="&amp;$A70,T09GSCPageDaily[date],"&lt;"&amp;DATE(YEAR($A70),MONTH($A70)+1,1),T09GSCPageDaily[data_state],"final"))</x:f>
      </x:c>
      <x:c r="F70" s="24" t="str">
        <x:f>IF(D70=0,"",SUMIFS(T09GSCPageDaily[impressions],T09GSCPageDaily[target_country],$B70,T09GSCPageDaily[language],$C70,T09GSCPageDaily[date],"&gt;="&amp;$A70,T09GSCPageDaily[date],"&lt;"&amp;DATE(YEAR($A70),MONTH($A70)+1,1),T09GSCPageDaily[data_state],"final"))</x:f>
      </x:c>
      <x:c r="G70" s="28" t="str">
        <x:f>IFERROR(IF(D70=0,"",E70/F70),"")</x:f>
      </x:c>
      <x:c r="H70" s="26" t="str">
        <x:f>IF(D70=0,"",IFERROR(SUMPRODUCT((T09GSCPageDaily[target_country]=$B70)*(T09GSCPageDaily[language]=$C70)*(T09GSCPageDaily[date]&gt;=$A70)*(T09GSCPageDaily[date]&lt;DATE(YEAR($A70),MONTH($A70)+1,1))*(T09GSCPageDaily[data_state]="final")*T09GSCPageDaily[avg_position]*T09GSCPageDaily[impressions])/F70,""))</x:f>
      </x:c>
      <x:c r="I70" s="18" t="n">
        <x:f>COUNTIFS(T11GA4LandingDaily[target_country],$B70,T11GA4LandingDaily[language],$C70,T11GA4LandingDaily[date],"&gt;="&amp;$A70,T11GA4LandingDaily[date],"&lt;"&amp;DATE(YEAR($A70),MONTH($A70)+1,1),T11GA4LandingDaily[session_channel],"Organic Search",T11GA4LandingDaily[data_quality],"Measured")</x:f>
        <x:v>0</x:v>
      </x:c>
      <x:c r="J70" s="18" t="str">
        <x:f>IF(I70=0,"",SUMIFS(T11GA4LandingDaily[sessions],T11GA4LandingDaily[target_country],$B70,T11GA4LandingDaily[language],$C70,T11GA4LandingDaily[date],"&gt;="&amp;$A70,T11GA4LandingDaily[date],"&lt;"&amp;DATE(YEAR($A70),MONTH($A70)+1,1),T11GA4LandingDaily[session_channel],"Organic Search",T11GA4LandingDaily[data_quality],"Measured"))</x:f>
      </x:c>
      <x:c r="K70" s="24" t="str">
        <x:f>IF(I70=0,"",SUMIFS(T11GA4LandingDaily[engaged_sessions],T11GA4LandingDaily[target_country],$B70,T11GA4LandingDaily[language],$C70,T11GA4LandingDaily[date],"&gt;="&amp;$A70,T11GA4LandingDaily[date],"&lt;"&amp;DATE(YEAR($A70),MONTH($A70)+1,1),T11GA4LandingDaily[session_channel],"Organic Search",T11GA4LandingDaily[data_quality],"Measured"))</x:f>
      </x:c>
      <x:c r="L70" s="28" t="str">
        <x:f>IFERROR(IF(I70=0,"",K70/J70),"")</x:f>
      </x:c>
      <x:c r="M70" s="24" t="str">
        <x:f>IF(I70=0,"",SUMIFS(T11GA4LandingDaily[key_events],T11GA4LandingDaily[target_country],$B70,T11GA4LandingDaily[language],$C70,T11GA4LandingDaily[date],"&gt;="&amp;$A70,T11GA4LandingDaily[date],"&lt;"&amp;DATE(YEAR($A70),MONTH($A70)+1,1),T11GA4LandingDaily[session_channel],"Organic Search",T11GA4LandingDaily[data_quality],"Measured"))</x:f>
      </x:c>
      <x:c r="N70" s="24" t="str">
        <x:f>IF(I70=0,"",SUMIFS(T11GA4LandingDaily[booking_starts],T11GA4LandingDaily[target_country],$B70,T11GA4LandingDaily[language],$C70,T11GA4LandingDaily[date],"&gt;="&amp;$A70,T11GA4LandingDaily[date],"&lt;"&amp;DATE(YEAR($A70),MONTH($A70)+1,1),T11GA4LandingDaily[session_channel],"Organic Search",T11GA4LandingDaily[data_quality],"Measured"))</x:f>
      </x:c>
      <x:c r="O70" s="24" t="str">
        <x:f>IF(I70=0,"",SUMIFS(T11GA4LandingDaily[purchases],T11GA4LandingDaily[target_country],$B70,T11GA4LandingDaily[language],$C70,T11GA4LandingDaily[date],"&gt;="&amp;$A70,T11GA4LandingDaily[date],"&lt;"&amp;DATE(YEAR($A70),MONTH($A70)+1,1),T11GA4LandingDaily[session_channel],"Organic Search",T11GA4LandingDaily[data_quality],"Measured"))</x:f>
      </x:c>
      <x:c r="P70" s="18" t="str">
        <x:f>IF(OR(I70=0,'25_Config'!$B$11=""),"",IF(COUNTIFS(T11GA4LandingDaily[target_country],$B70,T11GA4LandingDaily[language],$C70,T11GA4LandingDaily[date],"&gt;="&amp;$A70,T11GA4LandingDaily[date],"&lt;"&amp;DATE(YEAR($A70),MONTH($A70)+1,1),T11GA4LandingDaily[session_channel],"Organic Search",T11GA4LandingDaily[data_quality],"Measured",T11GA4LandingDaily[currency],"&lt;&gt;"&amp;'25_Config'!$B$11)&gt;0,"",SUMIFS(T11GA4LandingDaily[purchase_revenue],T11GA4LandingDaily[target_country],$B70,T11GA4LandingDaily[language],$C70,T11GA4LandingDaily[date],"&gt;="&amp;$A70,T11GA4LandingDaily[date],"&lt;"&amp;DATE(YEAR($A70),MONTH($A70)+1,1),T11GA4LandingDaily[session_channel],"Organic Search",T11GA4LandingDaily[data_quality],"Measured")))</x:f>
      </x:c>
      <x:c r="Q70" s="18" t="str">
        <x:f>IF(P70="","",'25_Config'!$B$11)</x:f>
      </x:c>
      <x:c r="R70" s="28"/>
      <x:c r="S70" s="18" t="str">
        <x:f>IF(AND(D70=0,I70=0),"Not refreshed","Check completeness, gaps and sample size")</x:f>
        <x:v>Not refreshed</x:v>
      </x:c>
    </x:row>
    <x:row r="71" ht="30" customHeight="1">
      <x:c r="A71" s="22" t="n">
        <x:v>46235</x:v>
      </x:c>
      <x:c r="B71" s="18" t="str">
        <x:v>Brazil</x:v>
      </x:c>
      <x:c r="C71" s="18" t="str">
        <x:v>es</x:v>
      </x:c>
      <x:c r="D71" s="18" t="n">
        <x:f>COUNTIFS(T09GSCPageDaily[target_country],$B71,T09GSCPageDaily[language],$C71,T09GSCPageDaily[date],"&gt;="&amp;$A71,T09GSCPageDaily[date],"&lt;"&amp;DATE(YEAR($A71),MONTH($A71)+1,1),T09GSCPageDaily[data_state],"final")</x:f>
        <x:v>0</x:v>
      </x:c>
      <x:c r="E71" s="24" t="str">
        <x:f>IF(D71=0,"",SUMIFS(T09GSCPageDaily[clicks],T09GSCPageDaily[target_country],$B71,T09GSCPageDaily[language],$C71,T09GSCPageDaily[date],"&gt;="&amp;$A71,T09GSCPageDaily[date],"&lt;"&amp;DATE(YEAR($A71),MONTH($A71)+1,1),T09GSCPageDaily[data_state],"final"))</x:f>
      </x:c>
      <x:c r="F71" s="24" t="str">
        <x:f>IF(D71=0,"",SUMIFS(T09GSCPageDaily[impressions],T09GSCPageDaily[target_country],$B71,T09GSCPageDaily[language],$C71,T09GSCPageDaily[date],"&gt;="&amp;$A71,T09GSCPageDaily[date],"&lt;"&amp;DATE(YEAR($A71),MONTH($A71)+1,1),T09GSCPageDaily[data_state],"final"))</x:f>
      </x:c>
      <x:c r="G71" s="28" t="str">
        <x:f>IFERROR(IF(D71=0,"",E71/F71),"")</x:f>
      </x:c>
      <x:c r="H71" s="26" t="str">
        <x:f>IF(D71=0,"",IFERROR(SUMPRODUCT((T09GSCPageDaily[target_country]=$B71)*(T09GSCPageDaily[language]=$C71)*(T09GSCPageDaily[date]&gt;=$A71)*(T09GSCPageDaily[date]&lt;DATE(YEAR($A71),MONTH($A71)+1,1))*(T09GSCPageDaily[data_state]="final")*T09GSCPageDaily[avg_position]*T09GSCPageDaily[impressions])/F71,""))</x:f>
      </x:c>
      <x:c r="I71" s="18" t="n">
        <x:f>COUNTIFS(T11GA4LandingDaily[target_country],$B71,T11GA4LandingDaily[language],$C71,T11GA4LandingDaily[date],"&gt;="&amp;$A71,T11GA4LandingDaily[date],"&lt;"&amp;DATE(YEAR($A71),MONTH($A71)+1,1),T11GA4LandingDaily[session_channel],"Organic Search",T11GA4LandingDaily[data_quality],"Measured")</x:f>
        <x:v>0</x:v>
      </x:c>
      <x:c r="J71" s="18" t="str">
        <x:f>IF(I71=0,"",SUMIFS(T11GA4LandingDaily[sessions],T11GA4LandingDaily[target_country],$B71,T11GA4LandingDaily[language],$C71,T11GA4LandingDaily[date],"&gt;="&amp;$A71,T11GA4LandingDaily[date],"&lt;"&amp;DATE(YEAR($A71),MONTH($A71)+1,1),T11GA4LandingDaily[session_channel],"Organic Search",T11GA4LandingDaily[data_quality],"Measured"))</x:f>
      </x:c>
      <x:c r="K71" s="24" t="str">
        <x:f>IF(I71=0,"",SUMIFS(T11GA4LandingDaily[engaged_sessions],T11GA4LandingDaily[target_country],$B71,T11GA4LandingDaily[language],$C71,T11GA4LandingDaily[date],"&gt;="&amp;$A71,T11GA4LandingDaily[date],"&lt;"&amp;DATE(YEAR($A71),MONTH($A71)+1,1),T11GA4LandingDaily[session_channel],"Organic Search",T11GA4LandingDaily[data_quality],"Measured"))</x:f>
      </x:c>
      <x:c r="L71" s="28" t="str">
        <x:f>IFERROR(IF(I71=0,"",K71/J71),"")</x:f>
      </x:c>
      <x:c r="M71" s="24" t="str">
        <x:f>IF(I71=0,"",SUMIFS(T11GA4LandingDaily[key_events],T11GA4LandingDaily[target_country],$B71,T11GA4LandingDaily[language],$C71,T11GA4LandingDaily[date],"&gt;="&amp;$A71,T11GA4LandingDaily[date],"&lt;"&amp;DATE(YEAR($A71),MONTH($A71)+1,1),T11GA4LandingDaily[session_channel],"Organic Search",T11GA4LandingDaily[data_quality],"Measured"))</x:f>
      </x:c>
      <x:c r="N71" s="24" t="str">
        <x:f>IF(I71=0,"",SUMIFS(T11GA4LandingDaily[booking_starts],T11GA4LandingDaily[target_country],$B71,T11GA4LandingDaily[language],$C71,T11GA4LandingDaily[date],"&gt;="&amp;$A71,T11GA4LandingDaily[date],"&lt;"&amp;DATE(YEAR($A71),MONTH($A71)+1,1),T11GA4LandingDaily[session_channel],"Organic Search",T11GA4LandingDaily[data_quality],"Measured"))</x:f>
      </x:c>
      <x:c r="O71" s="24" t="str">
        <x:f>IF(I71=0,"",SUMIFS(T11GA4LandingDaily[purchases],T11GA4LandingDaily[target_country],$B71,T11GA4LandingDaily[language],$C71,T11GA4LandingDaily[date],"&gt;="&amp;$A71,T11GA4LandingDaily[date],"&lt;"&amp;DATE(YEAR($A71),MONTH($A71)+1,1),T11GA4LandingDaily[session_channel],"Organic Search",T11GA4LandingDaily[data_quality],"Measured"))</x:f>
      </x:c>
      <x:c r="P71" s="18" t="str">
        <x:f>IF(OR(I71=0,'25_Config'!$B$11=""),"",IF(COUNTIFS(T11GA4LandingDaily[target_country],$B71,T11GA4LandingDaily[language],$C71,T11GA4LandingDaily[date],"&gt;="&amp;$A71,T11GA4LandingDaily[date],"&lt;"&amp;DATE(YEAR($A71),MONTH($A71)+1,1),T11GA4LandingDaily[session_channel],"Organic Search",T11GA4LandingDaily[data_quality],"Measured",T11GA4LandingDaily[currency],"&lt;&gt;"&amp;'25_Config'!$B$11)&gt;0,"",SUMIFS(T11GA4LandingDaily[purchase_revenue],T11GA4LandingDaily[target_country],$B71,T11GA4LandingDaily[language],$C71,T11GA4LandingDaily[date],"&gt;="&amp;$A71,T11GA4LandingDaily[date],"&lt;"&amp;DATE(YEAR($A71),MONTH($A71)+1,1),T11GA4LandingDaily[session_channel],"Organic Search",T11GA4LandingDaily[data_quality],"Measured")))</x:f>
      </x:c>
      <x:c r="Q71" s="18" t="str">
        <x:f>IF(P71="","",'25_Config'!$B$11)</x:f>
      </x:c>
      <x:c r="R71" s="28"/>
      <x:c r="S71" s="18" t="str">
        <x:f>IF(AND(D71=0,I71=0),"Not refreshed","Check completeness, gaps and sample size")</x:f>
        <x:v>Not refreshed</x:v>
      </x:c>
    </x:row>
    <x:row r="72" ht="30" customHeight="1">
      <x:c r="A72" s="22" t="n">
        <x:v>46266</x:v>
      </x:c>
      <x:c r="B72" s="18" t="str">
        <x:v>Ireland</x:v>
      </x:c>
      <x:c r="C72" s="18" t="str">
        <x:v>en</x:v>
      </x:c>
      <x:c r="D72" s="18" t="n">
        <x:f>COUNTIFS(T09GSCPageDaily[target_country],$B72,T09GSCPageDaily[language],$C72,T09GSCPageDaily[date],"&gt;="&amp;$A72,T09GSCPageDaily[date],"&lt;"&amp;DATE(YEAR($A72),MONTH($A72)+1,1),T09GSCPageDaily[data_state],"final")</x:f>
        <x:v>0</x:v>
      </x:c>
      <x:c r="E72" s="24" t="str">
        <x:f>IF(D72=0,"",SUMIFS(T09GSCPageDaily[clicks],T09GSCPageDaily[target_country],$B72,T09GSCPageDaily[language],$C72,T09GSCPageDaily[date],"&gt;="&amp;$A72,T09GSCPageDaily[date],"&lt;"&amp;DATE(YEAR($A72),MONTH($A72)+1,1),T09GSCPageDaily[data_state],"final"))</x:f>
      </x:c>
      <x:c r="F72" s="24" t="str">
        <x:f>IF(D72=0,"",SUMIFS(T09GSCPageDaily[impressions],T09GSCPageDaily[target_country],$B72,T09GSCPageDaily[language],$C72,T09GSCPageDaily[date],"&gt;="&amp;$A72,T09GSCPageDaily[date],"&lt;"&amp;DATE(YEAR($A72),MONTH($A72)+1,1),T09GSCPageDaily[data_state],"final"))</x:f>
      </x:c>
      <x:c r="G72" s="28" t="str">
        <x:f>IFERROR(IF(D72=0,"",E72/F72),"")</x:f>
      </x:c>
      <x:c r="H72" s="26" t="str">
        <x:f>IF(D72=0,"",IFERROR(SUMPRODUCT((T09GSCPageDaily[target_country]=$B72)*(T09GSCPageDaily[language]=$C72)*(T09GSCPageDaily[date]&gt;=$A72)*(T09GSCPageDaily[date]&lt;DATE(YEAR($A72),MONTH($A72)+1,1))*(T09GSCPageDaily[data_state]="final")*T09GSCPageDaily[avg_position]*T09GSCPageDaily[impressions])/F72,""))</x:f>
      </x:c>
      <x:c r="I72" s="18" t="n">
        <x:f>COUNTIFS(T11GA4LandingDaily[target_country],$B72,T11GA4LandingDaily[language],$C72,T11GA4LandingDaily[date],"&gt;="&amp;$A72,T11GA4LandingDaily[date],"&lt;"&amp;DATE(YEAR($A72),MONTH($A72)+1,1),T11GA4LandingDaily[session_channel],"Organic Search",T11GA4LandingDaily[data_quality],"Measured")</x:f>
        <x:v>0</x:v>
      </x:c>
      <x:c r="J72" s="18" t="str">
        <x:f>IF(I72=0,"",SUMIFS(T11GA4LandingDaily[sessions],T11GA4LandingDaily[target_country],$B72,T11GA4LandingDaily[language],$C72,T11GA4LandingDaily[date],"&gt;="&amp;$A72,T11GA4LandingDaily[date],"&lt;"&amp;DATE(YEAR($A72),MONTH($A72)+1,1),T11GA4LandingDaily[session_channel],"Organic Search",T11GA4LandingDaily[data_quality],"Measured"))</x:f>
      </x:c>
      <x:c r="K72" s="24" t="str">
        <x:f>IF(I72=0,"",SUMIFS(T11GA4LandingDaily[engaged_sessions],T11GA4LandingDaily[target_country],$B72,T11GA4LandingDaily[language],$C72,T11GA4LandingDaily[date],"&gt;="&amp;$A72,T11GA4LandingDaily[date],"&lt;"&amp;DATE(YEAR($A72),MONTH($A72)+1,1),T11GA4LandingDaily[session_channel],"Organic Search",T11GA4LandingDaily[data_quality],"Measured"))</x:f>
      </x:c>
      <x:c r="L72" s="28" t="str">
        <x:f>IFERROR(IF(I72=0,"",K72/J72),"")</x:f>
      </x:c>
      <x:c r="M72" s="24" t="str">
        <x:f>IF(I72=0,"",SUMIFS(T11GA4LandingDaily[key_events],T11GA4LandingDaily[target_country],$B72,T11GA4LandingDaily[language],$C72,T11GA4LandingDaily[date],"&gt;="&amp;$A72,T11GA4LandingDaily[date],"&lt;"&amp;DATE(YEAR($A72),MONTH($A72)+1,1),T11GA4LandingDaily[session_channel],"Organic Search",T11GA4LandingDaily[data_quality],"Measured"))</x:f>
      </x:c>
      <x:c r="N72" s="24" t="str">
        <x:f>IF(I72=0,"",SUMIFS(T11GA4LandingDaily[booking_starts],T11GA4LandingDaily[target_country],$B72,T11GA4LandingDaily[language],$C72,T11GA4LandingDaily[date],"&gt;="&amp;$A72,T11GA4LandingDaily[date],"&lt;"&amp;DATE(YEAR($A72),MONTH($A72)+1,1),T11GA4LandingDaily[session_channel],"Organic Search",T11GA4LandingDaily[data_quality],"Measured"))</x:f>
      </x:c>
      <x:c r="O72" s="24" t="str">
        <x:f>IF(I72=0,"",SUMIFS(T11GA4LandingDaily[purchases],T11GA4LandingDaily[target_country],$B72,T11GA4LandingDaily[language],$C72,T11GA4LandingDaily[date],"&gt;="&amp;$A72,T11GA4LandingDaily[date],"&lt;"&amp;DATE(YEAR($A72),MONTH($A72)+1,1),T11GA4LandingDaily[session_channel],"Organic Search",T11GA4LandingDaily[data_quality],"Measured"))</x:f>
      </x:c>
      <x:c r="P72" s="18" t="str">
        <x:f>IF(OR(I72=0,'25_Config'!$B$11=""),"",IF(COUNTIFS(T11GA4LandingDaily[target_country],$B72,T11GA4LandingDaily[language],$C72,T11GA4LandingDaily[date],"&gt;="&amp;$A72,T11GA4LandingDaily[date],"&lt;"&amp;DATE(YEAR($A72),MONTH($A72)+1,1),T11GA4LandingDaily[session_channel],"Organic Search",T11GA4LandingDaily[data_quality],"Measured",T11GA4LandingDaily[currency],"&lt;&gt;"&amp;'25_Config'!$B$11)&gt;0,"",SUMIFS(T11GA4LandingDaily[purchase_revenue],T11GA4LandingDaily[target_country],$B72,T11GA4LandingDaily[language],$C72,T11GA4LandingDaily[date],"&gt;="&amp;$A72,T11GA4LandingDaily[date],"&lt;"&amp;DATE(YEAR($A72),MONTH($A72)+1,1),T11GA4LandingDaily[session_channel],"Organic Search",T11GA4LandingDaily[data_quality],"Measured")))</x:f>
      </x:c>
      <x:c r="Q72" s="18" t="str">
        <x:f>IF(P72="","",'25_Config'!$B$11)</x:f>
      </x:c>
      <x:c r="R72" s="28"/>
      <x:c r="S72" s="18" t="str">
        <x:f>IF(AND(D72=0,I72=0),"Not refreshed","Check completeness, gaps and sample size")</x:f>
        <x:v>Not refreshed</x:v>
      </x:c>
    </x:row>
    <x:row r="73" ht="30" customHeight="1">
      <x:c r="A73" s="22" t="n">
        <x:v>46266</x:v>
      </x:c>
      <x:c r="B73" s="18" t="str">
        <x:v>Ireland</x:v>
      </x:c>
      <x:c r="C73" s="18" t="str">
        <x:v>pt</x:v>
      </x:c>
      <x:c r="D73" s="18" t="n">
        <x:f>COUNTIFS(T09GSCPageDaily[target_country],$B73,T09GSCPageDaily[language],$C73,T09GSCPageDaily[date],"&gt;="&amp;$A73,T09GSCPageDaily[date],"&lt;"&amp;DATE(YEAR($A73),MONTH($A73)+1,1),T09GSCPageDaily[data_state],"final")</x:f>
        <x:v>0</x:v>
      </x:c>
      <x:c r="E73" s="24" t="str">
        <x:f>IF(D73=0,"",SUMIFS(T09GSCPageDaily[clicks],T09GSCPageDaily[target_country],$B73,T09GSCPageDaily[language],$C73,T09GSCPageDaily[date],"&gt;="&amp;$A73,T09GSCPageDaily[date],"&lt;"&amp;DATE(YEAR($A73),MONTH($A73)+1,1),T09GSCPageDaily[data_state],"final"))</x:f>
      </x:c>
      <x:c r="F73" s="24" t="str">
        <x:f>IF(D73=0,"",SUMIFS(T09GSCPageDaily[impressions],T09GSCPageDaily[target_country],$B73,T09GSCPageDaily[language],$C73,T09GSCPageDaily[date],"&gt;="&amp;$A73,T09GSCPageDaily[date],"&lt;"&amp;DATE(YEAR($A73),MONTH($A73)+1,1),T09GSCPageDaily[data_state],"final"))</x:f>
      </x:c>
      <x:c r="G73" s="28" t="str">
        <x:f>IFERROR(IF(D73=0,"",E73/F73),"")</x:f>
      </x:c>
      <x:c r="H73" s="26" t="str">
        <x:f>IF(D73=0,"",IFERROR(SUMPRODUCT((T09GSCPageDaily[target_country]=$B73)*(T09GSCPageDaily[language]=$C73)*(T09GSCPageDaily[date]&gt;=$A73)*(T09GSCPageDaily[date]&lt;DATE(YEAR($A73),MONTH($A73)+1,1))*(T09GSCPageDaily[data_state]="final")*T09GSCPageDaily[avg_position]*T09GSCPageDaily[impressions])/F73,""))</x:f>
      </x:c>
      <x:c r="I73" s="18" t="n">
        <x:f>COUNTIFS(T11GA4LandingDaily[target_country],$B73,T11GA4LandingDaily[language],$C73,T11GA4LandingDaily[date],"&gt;="&amp;$A73,T11GA4LandingDaily[date],"&lt;"&amp;DATE(YEAR($A73),MONTH($A73)+1,1),T11GA4LandingDaily[session_channel],"Organic Search",T11GA4LandingDaily[data_quality],"Measured")</x:f>
        <x:v>0</x:v>
      </x:c>
      <x:c r="J73" s="18" t="str">
        <x:f>IF(I73=0,"",SUMIFS(T11GA4LandingDaily[sessions],T11GA4LandingDaily[target_country],$B73,T11GA4LandingDaily[language],$C73,T11GA4LandingDaily[date],"&gt;="&amp;$A73,T11GA4LandingDaily[date],"&lt;"&amp;DATE(YEAR($A73),MONTH($A73)+1,1),T11GA4LandingDaily[session_channel],"Organic Search",T11GA4LandingDaily[data_quality],"Measured"))</x:f>
      </x:c>
      <x:c r="K73" s="24" t="str">
        <x:f>IF(I73=0,"",SUMIFS(T11GA4LandingDaily[engaged_sessions],T11GA4LandingDaily[target_country],$B73,T11GA4LandingDaily[language],$C73,T11GA4LandingDaily[date],"&gt;="&amp;$A73,T11GA4LandingDaily[date],"&lt;"&amp;DATE(YEAR($A73),MONTH($A73)+1,1),T11GA4LandingDaily[session_channel],"Organic Search",T11GA4LandingDaily[data_quality],"Measured"))</x:f>
      </x:c>
      <x:c r="L73" s="28" t="str">
        <x:f>IFERROR(IF(I73=0,"",K73/J73),"")</x:f>
      </x:c>
      <x:c r="M73" s="24" t="str">
        <x:f>IF(I73=0,"",SUMIFS(T11GA4LandingDaily[key_events],T11GA4LandingDaily[target_country],$B73,T11GA4LandingDaily[language],$C73,T11GA4LandingDaily[date],"&gt;="&amp;$A73,T11GA4LandingDaily[date],"&lt;"&amp;DATE(YEAR($A73),MONTH($A73)+1,1),T11GA4LandingDaily[session_channel],"Organic Search",T11GA4LandingDaily[data_quality],"Measured"))</x:f>
      </x:c>
      <x:c r="N73" s="24" t="str">
        <x:f>IF(I73=0,"",SUMIFS(T11GA4LandingDaily[booking_starts],T11GA4LandingDaily[target_country],$B73,T11GA4LandingDaily[language],$C73,T11GA4LandingDaily[date],"&gt;="&amp;$A73,T11GA4LandingDaily[date],"&lt;"&amp;DATE(YEAR($A73),MONTH($A73)+1,1),T11GA4LandingDaily[session_channel],"Organic Search",T11GA4LandingDaily[data_quality],"Measured"))</x:f>
      </x:c>
      <x:c r="O73" s="24" t="str">
        <x:f>IF(I73=0,"",SUMIFS(T11GA4LandingDaily[purchases],T11GA4LandingDaily[target_country],$B73,T11GA4LandingDaily[language],$C73,T11GA4LandingDaily[date],"&gt;="&amp;$A73,T11GA4LandingDaily[date],"&lt;"&amp;DATE(YEAR($A73),MONTH($A73)+1,1),T11GA4LandingDaily[session_channel],"Organic Search",T11GA4LandingDaily[data_quality],"Measured"))</x:f>
      </x:c>
      <x:c r="P73" s="18" t="str">
        <x:f>IF(OR(I73=0,'25_Config'!$B$11=""),"",IF(COUNTIFS(T11GA4LandingDaily[target_country],$B73,T11GA4LandingDaily[language],$C73,T11GA4LandingDaily[date],"&gt;="&amp;$A73,T11GA4LandingDaily[date],"&lt;"&amp;DATE(YEAR($A73),MONTH($A73)+1,1),T11GA4LandingDaily[session_channel],"Organic Search",T11GA4LandingDaily[data_quality],"Measured",T11GA4LandingDaily[currency],"&lt;&gt;"&amp;'25_Config'!$B$11)&gt;0,"",SUMIFS(T11GA4LandingDaily[purchase_revenue],T11GA4LandingDaily[target_country],$B73,T11GA4LandingDaily[language],$C73,T11GA4LandingDaily[date],"&gt;="&amp;$A73,T11GA4LandingDaily[date],"&lt;"&amp;DATE(YEAR($A73),MONTH($A73)+1,1),T11GA4LandingDaily[session_channel],"Organic Search",T11GA4LandingDaily[data_quality],"Measured")))</x:f>
      </x:c>
      <x:c r="Q73" s="18" t="str">
        <x:f>IF(P73="","",'25_Config'!$B$11)</x:f>
      </x:c>
      <x:c r="R73" s="28"/>
      <x:c r="S73" s="18" t="str">
        <x:f>IF(AND(D73=0,I73=0),"Not refreshed","Check completeness, gaps and sample size")</x:f>
        <x:v>Not refreshed</x:v>
      </x:c>
    </x:row>
    <x:row r="74" ht="30" customHeight="1">
      <x:c r="A74" s="22" t="n">
        <x:v>46266</x:v>
      </x:c>
      <x:c r="B74" s="18" t="str">
        <x:v>Ireland</x:v>
      </x:c>
      <x:c r="C74" s="18" t="str">
        <x:v>es</x:v>
      </x:c>
      <x:c r="D74" s="18" t="n">
        <x:f>COUNTIFS(T09GSCPageDaily[target_country],$B74,T09GSCPageDaily[language],$C74,T09GSCPageDaily[date],"&gt;="&amp;$A74,T09GSCPageDaily[date],"&lt;"&amp;DATE(YEAR($A74),MONTH($A74)+1,1),T09GSCPageDaily[data_state],"final")</x:f>
        <x:v>0</x:v>
      </x:c>
      <x:c r="E74" s="24" t="str">
        <x:f>IF(D74=0,"",SUMIFS(T09GSCPageDaily[clicks],T09GSCPageDaily[target_country],$B74,T09GSCPageDaily[language],$C74,T09GSCPageDaily[date],"&gt;="&amp;$A74,T09GSCPageDaily[date],"&lt;"&amp;DATE(YEAR($A74),MONTH($A74)+1,1),T09GSCPageDaily[data_state],"final"))</x:f>
      </x:c>
      <x:c r="F74" s="24" t="str">
        <x:f>IF(D74=0,"",SUMIFS(T09GSCPageDaily[impressions],T09GSCPageDaily[target_country],$B74,T09GSCPageDaily[language],$C74,T09GSCPageDaily[date],"&gt;="&amp;$A74,T09GSCPageDaily[date],"&lt;"&amp;DATE(YEAR($A74),MONTH($A74)+1,1),T09GSCPageDaily[data_state],"final"))</x:f>
      </x:c>
      <x:c r="G74" s="28" t="str">
        <x:f>IFERROR(IF(D74=0,"",E74/F74),"")</x:f>
      </x:c>
      <x:c r="H74" s="26" t="str">
        <x:f>IF(D74=0,"",IFERROR(SUMPRODUCT((T09GSCPageDaily[target_country]=$B74)*(T09GSCPageDaily[language]=$C74)*(T09GSCPageDaily[date]&gt;=$A74)*(T09GSCPageDaily[date]&lt;DATE(YEAR($A74),MONTH($A74)+1,1))*(T09GSCPageDaily[data_state]="final")*T09GSCPageDaily[avg_position]*T09GSCPageDaily[impressions])/F74,""))</x:f>
      </x:c>
      <x:c r="I74" s="18" t="n">
        <x:f>COUNTIFS(T11GA4LandingDaily[target_country],$B74,T11GA4LandingDaily[language],$C74,T11GA4LandingDaily[date],"&gt;="&amp;$A74,T11GA4LandingDaily[date],"&lt;"&amp;DATE(YEAR($A74),MONTH($A74)+1,1),T11GA4LandingDaily[session_channel],"Organic Search",T11GA4LandingDaily[data_quality],"Measured")</x:f>
        <x:v>0</x:v>
      </x:c>
      <x:c r="J74" s="18" t="str">
        <x:f>IF(I74=0,"",SUMIFS(T11GA4LandingDaily[sessions],T11GA4LandingDaily[target_country],$B74,T11GA4LandingDaily[language],$C74,T11GA4LandingDaily[date],"&gt;="&amp;$A74,T11GA4LandingDaily[date],"&lt;"&amp;DATE(YEAR($A74),MONTH($A74)+1,1),T11GA4LandingDaily[session_channel],"Organic Search",T11GA4LandingDaily[data_quality],"Measured"))</x:f>
      </x:c>
      <x:c r="K74" s="24" t="str">
        <x:f>IF(I74=0,"",SUMIFS(T11GA4LandingDaily[engaged_sessions],T11GA4LandingDaily[target_country],$B74,T11GA4LandingDaily[language],$C74,T11GA4LandingDaily[date],"&gt;="&amp;$A74,T11GA4LandingDaily[date],"&lt;"&amp;DATE(YEAR($A74),MONTH($A74)+1,1),T11GA4LandingDaily[session_channel],"Organic Search",T11GA4LandingDaily[data_quality],"Measured"))</x:f>
      </x:c>
      <x:c r="L74" s="28" t="str">
        <x:f>IFERROR(IF(I74=0,"",K74/J74),"")</x:f>
      </x:c>
      <x:c r="M74" s="24" t="str">
        <x:f>IF(I74=0,"",SUMIFS(T11GA4LandingDaily[key_events],T11GA4LandingDaily[target_country],$B74,T11GA4LandingDaily[language],$C74,T11GA4LandingDaily[date],"&gt;="&amp;$A74,T11GA4LandingDaily[date],"&lt;"&amp;DATE(YEAR($A74),MONTH($A74)+1,1),T11GA4LandingDaily[session_channel],"Organic Search",T11GA4LandingDaily[data_quality],"Measured"))</x:f>
      </x:c>
      <x:c r="N74" s="24" t="str">
        <x:f>IF(I74=0,"",SUMIFS(T11GA4LandingDaily[booking_starts],T11GA4LandingDaily[target_country],$B74,T11GA4LandingDaily[language],$C74,T11GA4LandingDaily[date],"&gt;="&amp;$A74,T11GA4LandingDaily[date],"&lt;"&amp;DATE(YEAR($A74),MONTH($A74)+1,1),T11GA4LandingDaily[session_channel],"Organic Search",T11GA4LandingDaily[data_quality],"Measured"))</x:f>
      </x:c>
      <x:c r="O74" s="24" t="str">
        <x:f>IF(I74=0,"",SUMIFS(T11GA4LandingDaily[purchases],T11GA4LandingDaily[target_country],$B74,T11GA4LandingDaily[language],$C74,T11GA4LandingDaily[date],"&gt;="&amp;$A74,T11GA4LandingDaily[date],"&lt;"&amp;DATE(YEAR($A74),MONTH($A74)+1,1),T11GA4LandingDaily[session_channel],"Organic Search",T11GA4LandingDaily[data_quality],"Measured"))</x:f>
      </x:c>
      <x:c r="P74" s="18" t="str">
        <x:f>IF(OR(I74=0,'25_Config'!$B$11=""),"",IF(COUNTIFS(T11GA4LandingDaily[target_country],$B74,T11GA4LandingDaily[language],$C74,T11GA4LandingDaily[date],"&gt;="&amp;$A74,T11GA4LandingDaily[date],"&lt;"&amp;DATE(YEAR($A74),MONTH($A74)+1,1),T11GA4LandingDaily[session_channel],"Organic Search",T11GA4LandingDaily[data_quality],"Measured",T11GA4LandingDaily[currency],"&lt;&gt;"&amp;'25_Config'!$B$11)&gt;0,"",SUMIFS(T11GA4LandingDaily[purchase_revenue],T11GA4LandingDaily[target_country],$B74,T11GA4LandingDaily[language],$C74,T11GA4LandingDaily[date],"&gt;="&amp;$A74,T11GA4LandingDaily[date],"&lt;"&amp;DATE(YEAR($A74),MONTH($A74)+1,1),T11GA4LandingDaily[session_channel],"Organic Search",T11GA4LandingDaily[data_quality],"Measured")))</x:f>
      </x:c>
      <x:c r="Q74" s="18" t="str">
        <x:f>IF(P74="","",'25_Config'!$B$11)</x:f>
      </x:c>
      <x:c r="R74" s="28"/>
      <x:c r="S74" s="18" t="str">
        <x:f>IF(AND(D74=0,I74=0),"Not refreshed","Check completeness, gaps and sample size")</x:f>
        <x:v>Not refreshed</x:v>
      </x:c>
    </x:row>
    <x:row r="75" ht="30" customHeight="1">
      <x:c r="A75" s="22" t="n">
        <x:v>46266</x:v>
      </x:c>
      <x:c r="B75" s="18" t="str">
        <x:v>Ireland</x:v>
      </x:c>
      <x:c r="C75" s="18" t="str">
        <x:v>cs</x:v>
      </x:c>
      <x:c r="D75" s="18" t="n">
        <x:f>COUNTIFS(T09GSCPageDaily[target_country],$B75,T09GSCPageDaily[language],$C75,T09GSCPageDaily[date],"&gt;="&amp;$A75,T09GSCPageDaily[date],"&lt;"&amp;DATE(YEAR($A75),MONTH($A75)+1,1),T09GSCPageDaily[data_state],"final")</x:f>
        <x:v>0</x:v>
      </x:c>
      <x:c r="E75" s="24" t="str">
        <x:f>IF(D75=0,"",SUMIFS(T09GSCPageDaily[clicks],T09GSCPageDaily[target_country],$B75,T09GSCPageDaily[language],$C75,T09GSCPageDaily[date],"&gt;="&amp;$A75,T09GSCPageDaily[date],"&lt;"&amp;DATE(YEAR($A75),MONTH($A75)+1,1),T09GSCPageDaily[data_state],"final"))</x:f>
      </x:c>
      <x:c r="F75" s="24" t="str">
        <x:f>IF(D75=0,"",SUMIFS(T09GSCPageDaily[impressions],T09GSCPageDaily[target_country],$B75,T09GSCPageDaily[language],$C75,T09GSCPageDaily[date],"&gt;="&amp;$A75,T09GSCPageDaily[date],"&lt;"&amp;DATE(YEAR($A75),MONTH($A75)+1,1),T09GSCPageDaily[data_state],"final"))</x:f>
      </x:c>
      <x:c r="G75" s="28" t="str">
        <x:f>IFERROR(IF(D75=0,"",E75/F75),"")</x:f>
      </x:c>
      <x:c r="H75" s="26" t="str">
        <x:f>IF(D75=0,"",IFERROR(SUMPRODUCT((T09GSCPageDaily[target_country]=$B75)*(T09GSCPageDaily[language]=$C75)*(T09GSCPageDaily[date]&gt;=$A75)*(T09GSCPageDaily[date]&lt;DATE(YEAR($A75),MONTH($A75)+1,1))*(T09GSCPageDaily[data_state]="final")*T09GSCPageDaily[avg_position]*T09GSCPageDaily[impressions])/F75,""))</x:f>
      </x:c>
      <x:c r="I75" s="18" t="n">
        <x:f>COUNTIFS(T11GA4LandingDaily[target_country],$B75,T11GA4LandingDaily[language],$C75,T11GA4LandingDaily[date],"&gt;="&amp;$A75,T11GA4LandingDaily[date],"&lt;"&amp;DATE(YEAR($A75),MONTH($A75)+1,1),T11GA4LandingDaily[session_channel],"Organic Search",T11GA4LandingDaily[data_quality],"Measured")</x:f>
        <x:v>0</x:v>
      </x:c>
      <x:c r="J75" s="18" t="str">
        <x:f>IF(I75=0,"",SUMIFS(T11GA4LandingDaily[sessions],T11GA4LandingDaily[target_country],$B75,T11GA4LandingDaily[language],$C75,T11GA4LandingDaily[date],"&gt;="&amp;$A75,T11GA4LandingDaily[date],"&lt;"&amp;DATE(YEAR($A75),MONTH($A75)+1,1),T11GA4LandingDaily[session_channel],"Organic Search",T11GA4LandingDaily[data_quality],"Measured"))</x:f>
      </x:c>
      <x:c r="K75" s="24" t="str">
        <x:f>IF(I75=0,"",SUMIFS(T11GA4LandingDaily[engaged_sessions],T11GA4LandingDaily[target_country],$B75,T11GA4LandingDaily[language],$C75,T11GA4LandingDaily[date],"&gt;="&amp;$A75,T11GA4LandingDaily[date],"&lt;"&amp;DATE(YEAR($A75),MONTH($A75)+1,1),T11GA4LandingDaily[session_channel],"Organic Search",T11GA4LandingDaily[data_quality],"Measured"))</x:f>
      </x:c>
      <x:c r="L75" s="28" t="str">
        <x:f>IFERROR(IF(I75=0,"",K75/J75),"")</x:f>
      </x:c>
      <x:c r="M75" s="24" t="str">
        <x:f>IF(I75=0,"",SUMIFS(T11GA4LandingDaily[key_events],T11GA4LandingDaily[target_country],$B75,T11GA4LandingDaily[language],$C75,T11GA4LandingDaily[date],"&gt;="&amp;$A75,T11GA4LandingDaily[date],"&lt;"&amp;DATE(YEAR($A75),MONTH($A75)+1,1),T11GA4LandingDaily[session_channel],"Organic Search",T11GA4LandingDaily[data_quality],"Measured"))</x:f>
      </x:c>
      <x:c r="N75" s="24" t="str">
        <x:f>IF(I75=0,"",SUMIFS(T11GA4LandingDaily[booking_starts],T11GA4LandingDaily[target_country],$B75,T11GA4LandingDaily[language],$C75,T11GA4LandingDaily[date],"&gt;="&amp;$A75,T11GA4LandingDaily[date],"&lt;"&amp;DATE(YEAR($A75),MONTH($A75)+1,1),T11GA4LandingDaily[session_channel],"Organic Search",T11GA4LandingDaily[data_quality],"Measured"))</x:f>
      </x:c>
      <x:c r="O75" s="24" t="str">
        <x:f>IF(I75=0,"",SUMIFS(T11GA4LandingDaily[purchases],T11GA4LandingDaily[target_country],$B75,T11GA4LandingDaily[language],$C75,T11GA4LandingDaily[date],"&gt;="&amp;$A75,T11GA4LandingDaily[date],"&lt;"&amp;DATE(YEAR($A75),MONTH($A75)+1,1),T11GA4LandingDaily[session_channel],"Organic Search",T11GA4LandingDaily[data_quality],"Measured"))</x:f>
      </x:c>
      <x:c r="P75" s="18" t="str">
        <x:f>IF(OR(I75=0,'25_Config'!$B$11=""),"",IF(COUNTIFS(T11GA4LandingDaily[target_country],$B75,T11GA4LandingDaily[language],$C75,T11GA4LandingDaily[date],"&gt;="&amp;$A75,T11GA4LandingDaily[date],"&lt;"&amp;DATE(YEAR($A75),MONTH($A75)+1,1),T11GA4LandingDaily[session_channel],"Organic Search",T11GA4LandingDaily[data_quality],"Measured",T11GA4LandingDaily[currency],"&lt;&gt;"&amp;'25_Config'!$B$11)&gt;0,"",SUMIFS(T11GA4LandingDaily[purchase_revenue],T11GA4LandingDaily[target_country],$B75,T11GA4LandingDaily[language],$C75,T11GA4LandingDaily[date],"&gt;="&amp;$A75,T11GA4LandingDaily[date],"&lt;"&amp;DATE(YEAR($A75),MONTH($A75)+1,1),T11GA4LandingDaily[session_channel],"Organic Search",T11GA4LandingDaily[data_quality],"Measured")))</x:f>
      </x:c>
      <x:c r="Q75" s="18" t="str">
        <x:f>IF(P75="","",'25_Config'!$B$11)</x:f>
      </x:c>
      <x:c r="R75" s="28"/>
      <x:c r="S75" s="18" t="str">
        <x:f>IF(AND(D75=0,I75=0),"Not refreshed","Check completeness, gaps and sample size")</x:f>
        <x:v>Not refreshed</x:v>
      </x:c>
    </x:row>
    <x:row r="76" ht="30" customHeight="1">
      <x:c r="A76" s="22" t="n">
        <x:v>46266</x:v>
      </x:c>
      <x:c r="B76" s="18" t="str">
        <x:v>Ireland</x:v>
      </x:c>
      <x:c r="C76" s="18" t="str">
        <x:v>ro</x:v>
      </x:c>
      <x:c r="D76" s="18" t="n">
        <x:f>COUNTIFS(T09GSCPageDaily[target_country],$B76,T09GSCPageDaily[language],$C76,T09GSCPageDaily[date],"&gt;="&amp;$A76,T09GSCPageDaily[date],"&lt;"&amp;DATE(YEAR($A76),MONTH($A76)+1,1),T09GSCPageDaily[data_state],"final")</x:f>
        <x:v>0</x:v>
      </x:c>
      <x:c r="E76" s="24" t="str">
        <x:f>IF(D76=0,"",SUMIFS(T09GSCPageDaily[clicks],T09GSCPageDaily[target_country],$B76,T09GSCPageDaily[language],$C76,T09GSCPageDaily[date],"&gt;="&amp;$A76,T09GSCPageDaily[date],"&lt;"&amp;DATE(YEAR($A76),MONTH($A76)+1,1),T09GSCPageDaily[data_state],"final"))</x:f>
      </x:c>
      <x:c r="F76" s="24" t="str">
        <x:f>IF(D76=0,"",SUMIFS(T09GSCPageDaily[impressions],T09GSCPageDaily[target_country],$B76,T09GSCPageDaily[language],$C76,T09GSCPageDaily[date],"&gt;="&amp;$A76,T09GSCPageDaily[date],"&lt;"&amp;DATE(YEAR($A76),MONTH($A76)+1,1),T09GSCPageDaily[data_state],"final"))</x:f>
      </x:c>
      <x:c r="G76" s="28" t="str">
        <x:f>IFERROR(IF(D76=0,"",E76/F76),"")</x:f>
      </x:c>
      <x:c r="H76" s="26" t="str">
        <x:f>IF(D76=0,"",IFERROR(SUMPRODUCT((T09GSCPageDaily[target_country]=$B76)*(T09GSCPageDaily[language]=$C76)*(T09GSCPageDaily[date]&gt;=$A76)*(T09GSCPageDaily[date]&lt;DATE(YEAR($A76),MONTH($A76)+1,1))*(T09GSCPageDaily[data_state]="final")*T09GSCPageDaily[avg_position]*T09GSCPageDaily[impressions])/F76,""))</x:f>
      </x:c>
      <x:c r="I76" s="18" t="n">
        <x:f>COUNTIFS(T11GA4LandingDaily[target_country],$B76,T11GA4LandingDaily[language],$C76,T11GA4LandingDaily[date],"&gt;="&amp;$A76,T11GA4LandingDaily[date],"&lt;"&amp;DATE(YEAR($A76),MONTH($A76)+1,1),T11GA4LandingDaily[session_channel],"Organic Search",T11GA4LandingDaily[data_quality],"Measured")</x:f>
        <x:v>0</x:v>
      </x:c>
      <x:c r="J76" s="18" t="str">
        <x:f>IF(I76=0,"",SUMIFS(T11GA4LandingDaily[sessions],T11GA4LandingDaily[target_country],$B76,T11GA4LandingDaily[language],$C76,T11GA4LandingDaily[date],"&gt;="&amp;$A76,T11GA4LandingDaily[date],"&lt;"&amp;DATE(YEAR($A76),MONTH($A76)+1,1),T11GA4LandingDaily[session_channel],"Organic Search",T11GA4LandingDaily[data_quality],"Measured"))</x:f>
      </x:c>
      <x:c r="K76" s="24" t="str">
        <x:f>IF(I76=0,"",SUMIFS(T11GA4LandingDaily[engaged_sessions],T11GA4LandingDaily[target_country],$B76,T11GA4LandingDaily[language],$C76,T11GA4LandingDaily[date],"&gt;="&amp;$A76,T11GA4LandingDaily[date],"&lt;"&amp;DATE(YEAR($A76),MONTH($A76)+1,1),T11GA4LandingDaily[session_channel],"Organic Search",T11GA4LandingDaily[data_quality],"Measured"))</x:f>
      </x:c>
      <x:c r="L76" s="28" t="str">
        <x:f>IFERROR(IF(I76=0,"",K76/J76),"")</x:f>
      </x:c>
      <x:c r="M76" s="24" t="str">
        <x:f>IF(I76=0,"",SUMIFS(T11GA4LandingDaily[key_events],T11GA4LandingDaily[target_country],$B76,T11GA4LandingDaily[language],$C76,T11GA4LandingDaily[date],"&gt;="&amp;$A76,T11GA4LandingDaily[date],"&lt;"&amp;DATE(YEAR($A76),MONTH($A76)+1,1),T11GA4LandingDaily[session_channel],"Organic Search",T11GA4LandingDaily[data_quality],"Measured"))</x:f>
      </x:c>
      <x:c r="N76" s="24" t="str">
        <x:f>IF(I76=0,"",SUMIFS(T11GA4LandingDaily[booking_starts],T11GA4LandingDaily[target_country],$B76,T11GA4LandingDaily[language],$C76,T11GA4LandingDaily[date],"&gt;="&amp;$A76,T11GA4LandingDaily[date],"&lt;"&amp;DATE(YEAR($A76),MONTH($A76)+1,1),T11GA4LandingDaily[session_channel],"Organic Search",T11GA4LandingDaily[data_quality],"Measured"))</x:f>
      </x:c>
      <x:c r="O76" s="24" t="str">
        <x:f>IF(I76=0,"",SUMIFS(T11GA4LandingDaily[purchases],T11GA4LandingDaily[target_country],$B76,T11GA4LandingDaily[language],$C76,T11GA4LandingDaily[date],"&gt;="&amp;$A76,T11GA4LandingDaily[date],"&lt;"&amp;DATE(YEAR($A76),MONTH($A76)+1,1),T11GA4LandingDaily[session_channel],"Organic Search",T11GA4LandingDaily[data_quality],"Measured"))</x:f>
      </x:c>
      <x:c r="P76" s="18" t="str">
        <x:f>IF(OR(I76=0,'25_Config'!$B$11=""),"",IF(COUNTIFS(T11GA4LandingDaily[target_country],$B76,T11GA4LandingDaily[language],$C76,T11GA4LandingDaily[date],"&gt;="&amp;$A76,T11GA4LandingDaily[date],"&lt;"&amp;DATE(YEAR($A76),MONTH($A76)+1,1),T11GA4LandingDaily[session_channel],"Organic Search",T11GA4LandingDaily[data_quality],"Measured",T11GA4LandingDaily[currency],"&lt;&gt;"&amp;'25_Config'!$B$11)&gt;0,"",SUMIFS(T11GA4LandingDaily[purchase_revenue],T11GA4LandingDaily[target_country],$B76,T11GA4LandingDaily[language],$C76,T11GA4LandingDaily[date],"&gt;="&amp;$A76,T11GA4LandingDaily[date],"&lt;"&amp;DATE(YEAR($A76),MONTH($A76)+1,1),T11GA4LandingDaily[session_channel],"Organic Search",T11GA4LandingDaily[data_quality],"Measured")))</x:f>
      </x:c>
      <x:c r="Q76" s="18" t="str">
        <x:f>IF(P76="","",'25_Config'!$B$11)</x:f>
      </x:c>
      <x:c r="R76" s="28"/>
      <x:c r="S76" s="18" t="str">
        <x:f>IF(AND(D76=0,I76=0),"Not refreshed","Check completeness, gaps and sample size")</x:f>
        <x:v>Not refreshed</x:v>
      </x:c>
    </x:row>
    <x:row r="77" ht="30" customHeight="1">
      <x:c r="A77" s="22" t="n">
        <x:v>46266</x:v>
      </x:c>
      <x:c r="B77" s="18" t="str">
        <x:v>Ireland</x:v>
      </x:c>
      <x:c r="C77" s="18" t="str">
        <x:v>de</x:v>
      </x:c>
      <x:c r="D77" s="18" t="n">
        <x:f>COUNTIFS(T09GSCPageDaily[target_country],$B77,T09GSCPageDaily[language],$C77,T09GSCPageDaily[date],"&gt;="&amp;$A77,T09GSCPageDaily[date],"&lt;"&amp;DATE(YEAR($A77),MONTH($A77)+1,1),T09GSCPageDaily[data_state],"final")</x:f>
        <x:v>0</x:v>
      </x:c>
      <x:c r="E77" s="24" t="str">
        <x:f>IF(D77=0,"",SUMIFS(T09GSCPageDaily[clicks],T09GSCPageDaily[target_country],$B77,T09GSCPageDaily[language],$C77,T09GSCPageDaily[date],"&gt;="&amp;$A77,T09GSCPageDaily[date],"&lt;"&amp;DATE(YEAR($A77),MONTH($A77)+1,1),T09GSCPageDaily[data_state],"final"))</x:f>
      </x:c>
      <x:c r="F77" s="24" t="str">
        <x:f>IF(D77=0,"",SUMIFS(T09GSCPageDaily[impressions],T09GSCPageDaily[target_country],$B77,T09GSCPageDaily[language],$C77,T09GSCPageDaily[date],"&gt;="&amp;$A77,T09GSCPageDaily[date],"&lt;"&amp;DATE(YEAR($A77),MONTH($A77)+1,1),T09GSCPageDaily[data_state],"final"))</x:f>
      </x:c>
      <x:c r="G77" s="28" t="str">
        <x:f>IFERROR(IF(D77=0,"",E77/F77),"")</x:f>
      </x:c>
      <x:c r="H77" s="26" t="str">
        <x:f>IF(D77=0,"",IFERROR(SUMPRODUCT((T09GSCPageDaily[target_country]=$B77)*(T09GSCPageDaily[language]=$C77)*(T09GSCPageDaily[date]&gt;=$A77)*(T09GSCPageDaily[date]&lt;DATE(YEAR($A77),MONTH($A77)+1,1))*(T09GSCPageDaily[data_state]="final")*T09GSCPageDaily[avg_position]*T09GSCPageDaily[impressions])/F77,""))</x:f>
      </x:c>
      <x:c r="I77" s="18" t="n">
        <x:f>COUNTIFS(T11GA4LandingDaily[target_country],$B77,T11GA4LandingDaily[language],$C77,T11GA4LandingDaily[date],"&gt;="&amp;$A77,T11GA4LandingDaily[date],"&lt;"&amp;DATE(YEAR($A77),MONTH($A77)+1,1),T11GA4LandingDaily[session_channel],"Organic Search",T11GA4LandingDaily[data_quality],"Measured")</x:f>
        <x:v>0</x:v>
      </x:c>
      <x:c r="J77" s="18" t="str">
        <x:f>IF(I77=0,"",SUMIFS(T11GA4LandingDaily[sessions],T11GA4LandingDaily[target_country],$B77,T11GA4LandingDaily[language],$C77,T11GA4LandingDaily[date],"&gt;="&amp;$A77,T11GA4LandingDaily[date],"&lt;"&amp;DATE(YEAR($A77),MONTH($A77)+1,1),T11GA4LandingDaily[session_channel],"Organic Search",T11GA4LandingDaily[data_quality],"Measured"))</x:f>
      </x:c>
      <x:c r="K77" s="24" t="str">
        <x:f>IF(I77=0,"",SUMIFS(T11GA4LandingDaily[engaged_sessions],T11GA4LandingDaily[target_country],$B77,T11GA4LandingDaily[language],$C77,T11GA4LandingDaily[date],"&gt;="&amp;$A77,T11GA4LandingDaily[date],"&lt;"&amp;DATE(YEAR($A77),MONTH($A77)+1,1),T11GA4LandingDaily[session_channel],"Organic Search",T11GA4LandingDaily[data_quality],"Measured"))</x:f>
      </x:c>
      <x:c r="L77" s="28" t="str">
        <x:f>IFERROR(IF(I77=0,"",K77/J77),"")</x:f>
      </x:c>
      <x:c r="M77" s="24" t="str">
        <x:f>IF(I77=0,"",SUMIFS(T11GA4LandingDaily[key_events],T11GA4LandingDaily[target_country],$B77,T11GA4LandingDaily[language],$C77,T11GA4LandingDaily[date],"&gt;="&amp;$A77,T11GA4LandingDaily[date],"&lt;"&amp;DATE(YEAR($A77),MONTH($A77)+1,1),T11GA4LandingDaily[session_channel],"Organic Search",T11GA4LandingDaily[data_quality],"Measured"))</x:f>
      </x:c>
      <x:c r="N77" s="24" t="str">
        <x:f>IF(I77=0,"",SUMIFS(T11GA4LandingDaily[booking_starts],T11GA4LandingDaily[target_country],$B77,T11GA4LandingDaily[language],$C77,T11GA4LandingDaily[date],"&gt;="&amp;$A77,T11GA4LandingDaily[date],"&lt;"&amp;DATE(YEAR($A77),MONTH($A77)+1,1),T11GA4LandingDaily[session_channel],"Organic Search",T11GA4LandingDaily[data_quality],"Measured"))</x:f>
      </x:c>
      <x:c r="O77" s="24" t="str">
        <x:f>IF(I77=0,"",SUMIFS(T11GA4LandingDaily[purchases],T11GA4LandingDaily[target_country],$B77,T11GA4LandingDaily[language],$C77,T11GA4LandingDaily[date],"&gt;="&amp;$A77,T11GA4LandingDaily[date],"&lt;"&amp;DATE(YEAR($A77),MONTH($A77)+1,1),T11GA4LandingDaily[session_channel],"Organic Search",T11GA4LandingDaily[data_quality],"Measured"))</x:f>
      </x:c>
      <x:c r="P77" s="18" t="str">
        <x:f>IF(OR(I77=0,'25_Config'!$B$11=""),"",IF(COUNTIFS(T11GA4LandingDaily[target_country],$B77,T11GA4LandingDaily[language],$C77,T11GA4LandingDaily[date],"&gt;="&amp;$A77,T11GA4LandingDaily[date],"&lt;"&amp;DATE(YEAR($A77),MONTH($A77)+1,1),T11GA4LandingDaily[session_channel],"Organic Search",T11GA4LandingDaily[data_quality],"Measured",T11GA4LandingDaily[currency],"&lt;&gt;"&amp;'25_Config'!$B$11)&gt;0,"",SUMIFS(T11GA4LandingDaily[purchase_revenue],T11GA4LandingDaily[target_country],$B77,T11GA4LandingDaily[language],$C77,T11GA4LandingDaily[date],"&gt;="&amp;$A77,T11GA4LandingDaily[date],"&lt;"&amp;DATE(YEAR($A77),MONTH($A77)+1,1),T11GA4LandingDaily[session_channel],"Organic Search",T11GA4LandingDaily[data_quality],"Measured")))</x:f>
      </x:c>
      <x:c r="Q77" s="18" t="str">
        <x:f>IF(P77="","",'25_Config'!$B$11)</x:f>
      </x:c>
      <x:c r="R77" s="28"/>
      <x:c r="S77" s="18" t="str">
        <x:f>IF(AND(D77=0,I77=0),"Not refreshed","Check completeness, gaps and sample size")</x:f>
        <x:v>Not refreshed</x:v>
      </x:c>
    </x:row>
    <x:row r="78" ht="30" customHeight="1">
      <x:c r="A78" s="22" t="n">
        <x:v>46266</x:v>
      </x:c>
      <x:c r="B78" s="18" t="str">
        <x:v>Czechia</x:v>
      </x:c>
      <x:c r="C78" s="18" t="str">
        <x:v>cs</x:v>
      </x:c>
      <x:c r="D78" s="18" t="n">
        <x:f>COUNTIFS(T09GSCPageDaily[target_country],$B78,T09GSCPageDaily[language],$C78,T09GSCPageDaily[date],"&gt;="&amp;$A78,T09GSCPageDaily[date],"&lt;"&amp;DATE(YEAR($A78),MONTH($A78)+1,1),T09GSCPageDaily[data_state],"final")</x:f>
        <x:v>0</x:v>
      </x:c>
      <x:c r="E78" s="24" t="str">
        <x:f>IF(D78=0,"",SUMIFS(T09GSCPageDaily[clicks],T09GSCPageDaily[target_country],$B78,T09GSCPageDaily[language],$C78,T09GSCPageDaily[date],"&gt;="&amp;$A78,T09GSCPageDaily[date],"&lt;"&amp;DATE(YEAR($A78),MONTH($A78)+1,1),T09GSCPageDaily[data_state],"final"))</x:f>
      </x:c>
      <x:c r="F78" s="24" t="str">
        <x:f>IF(D78=0,"",SUMIFS(T09GSCPageDaily[impressions],T09GSCPageDaily[target_country],$B78,T09GSCPageDaily[language],$C78,T09GSCPageDaily[date],"&gt;="&amp;$A78,T09GSCPageDaily[date],"&lt;"&amp;DATE(YEAR($A78),MONTH($A78)+1,1),T09GSCPageDaily[data_state],"final"))</x:f>
      </x:c>
      <x:c r="G78" s="28" t="str">
        <x:f>IFERROR(IF(D78=0,"",E78/F78),"")</x:f>
      </x:c>
      <x:c r="H78" s="26" t="str">
        <x:f>IF(D78=0,"",IFERROR(SUMPRODUCT((T09GSCPageDaily[target_country]=$B78)*(T09GSCPageDaily[language]=$C78)*(T09GSCPageDaily[date]&gt;=$A78)*(T09GSCPageDaily[date]&lt;DATE(YEAR($A78),MONTH($A78)+1,1))*(T09GSCPageDaily[data_state]="final")*T09GSCPageDaily[avg_position]*T09GSCPageDaily[impressions])/F78,""))</x:f>
      </x:c>
      <x:c r="I78" s="18" t="n">
        <x:f>COUNTIFS(T11GA4LandingDaily[target_country],$B78,T11GA4LandingDaily[language],$C78,T11GA4LandingDaily[date],"&gt;="&amp;$A78,T11GA4LandingDaily[date],"&lt;"&amp;DATE(YEAR($A78),MONTH($A78)+1,1),T11GA4LandingDaily[session_channel],"Organic Search",T11GA4LandingDaily[data_quality],"Measured")</x:f>
        <x:v>0</x:v>
      </x:c>
      <x:c r="J78" s="18" t="str">
        <x:f>IF(I78=0,"",SUMIFS(T11GA4LandingDaily[sessions],T11GA4LandingDaily[target_country],$B78,T11GA4LandingDaily[language],$C78,T11GA4LandingDaily[date],"&gt;="&amp;$A78,T11GA4LandingDaily[date],"&lt;"&amp;DATE(YEAR($A78),MONTH($A78)+1,1),T11GA4LandingDaily[session_channel],"Organic Search",T11GA4LandingDaily[data_quality],"Measured"))</x:f>
      </x:c>
      <x:c r="K78" s="24" t="str">
        <x:f>IF(I78=0,"",SUMIFS(T11GA4LandingDaily[engaged_sessions],T11GA4LandingDaily[target_country],$B78,T11GA4LandingDaily[language],$C78,T11GA4LandingDaily[date],"&gt;="&amp;$A78,T11GA4LandingDaily[date],"&lt;"&amp;DATE(YEAR($A78),MONTH($A78)+1,1),T11GA4LandingDaily[session_channel],"Organic Search",T11GA4LandingDaily[data_quality],"Measured"))</x:f>
      </x:c>
      <x:c r="L78" s="28" t="str">
        <x:f>IFERROR(IF(I78=0,"",K78/J78),"")</x:f>
      </x:c>
      <x:c r="M78" s="24" t="str">
        <x:f>IF(I78=0,"",SUMIFS(T11GA4LandingDaily[key_events],T11GA4LandingDaily[target_country],$B78,T11GA4LandingDaily[language],$C78,T11GA4LandingDaily[date],"&gt;="&amp;$A78,T11GA4LandingDaily[date],"&lt;"&amp;DATE(YEAR($A78),MONTH($A78)+1,1),T11GA4LandingDaily[session_channel],"Organic Search",T11GA4LandingDaily[data_quality],"Measured"))</x:f>
      </x:c>
      <x:c r="N78" s="24" t="str">
        <x:f>IF(I78=0,"",SUMIFS(T11GA4LandingDaily[booking_starts],T11GA4LandingDaily[target_country],$B78,T11GA4LandingDaily[language],$C78,T11GA4LandingDaily[date],"&gt;="&amp;$A78,T11GA4LandingDaily[date],"&lt;"&amp;DATE(YEAR($A78),MONTH($A78)+1,1),T11GA4LandingDaily[session_channel],"Organic Search",T11GA4LandingDaily[data_quality],"Measured"))</x:f>
      </x:c>
      <x:c r="O78" s="24" t="str">
        <x:f>IF(I78=0,"",SUMIFS(T11GA4LandingDaily[purchases],T11GA4LandingDaily[target_country],$B78,T11GA4LandingDaily[language],$C78,T11GA4LandingDaily[date],"&gt;="&amp;$A78,T11GA4LandingDaily[date],"&lt;"&amp;DATE(YEAR($A78),MONTH($A78)+1,1),T11GA4LandingDaily[session_channel],"Organic Search",T11GA4LandingDaily[data_quality],"Measured"))</x:f>
      </x:c>
      <x:c r="P78" s="18" t="str">
        <x:f>IF(OR(I78=0,'25_Config'!$B$11=""),"",IF(COUNTIFS(T11GA4LandingDaily[target_country],$B78,T11GA4LandingDaily[language],$C78,T11GA4LandingDaily[date],"&gt;="&amp;$A78,T11GA4LandingDaily[date],"&lt;"&amp;DATE(YEAR($A78),MONTH($A78)+1,1),T11GA4LandingDaily[session_channel],"Organic Search",T11GA4LandingDaily[data_quality],"Measured",T11GA4LandingDaily[currency],"&lt;&gt;"&amp;'25_Config'!$B$11)&gt;0,"",SUMIFS(T11GA4LandingDaily[purchase_revenue],T11GA4LandingDaily[target_country],$B78,T11GA4LandingDaily[language],$C78,T11GA4LandingDaily[date],"&gt;="&amp;$A78,T11GA4LandingDaily[date],"&lt;"&amp;DATE(YEAR($A78),MONTH($A78)+1,1),T11GA4LandingDaily[session_channel],"Organic Search",T11GA4LandingDaily[data_quality],"Measured")))</x:f>
      </x:c>
      <x:c r="Q78" s="18" t="str">
        <x:f>IF(P78="","",'25_Config'!$B$11)</x:f>
      </x:c>
      <x:c r="R78" s="28"/>
      <x:c r="S78" s="18" t="str">
        <x:f>IF(AND(D78=0,I78=0),"Not refreshed","Check completeness, gaps and sample size")</x:f>
        <x:v>Not refreshed</x:v>
      </x:c>
    </x:row>
    <x:row r="79" ht="30" customHeight="1">
      <x:c r="A79" s="22" t="n">
        <x:v>46266</x:v>
      </x:c>
      <x:c r="B79" s="18" t="str">
        <x:v>Czechia</x:v>
      </x:c>
      <x:c r="C79" s="18" t="str">
        <x:v>en</x:v>
      </x:c>
      <x:c r="D79" s="18" t="n">
        <x:f>COUNTIFS(T09GSCPageDaily[target_country],$B79,T09GSCPageDaily[language],$C79,T09GSCPageDaily[date],"&gt;="&amp;$A79,T09GSCPageDaily[date],"&lt;"&amp;DATE(YEAR($A79),MONTH($A79)+1,1),T09GSCPageDaily[data_state],"final")</x:f>
        <x:v>0</x:v>
      </x:c>
      <x:c r="E79" s="24" t="str">
        <x:f>IF(D79=0,"",SUMIFS(T09GSCPageDaily[clicks],T09GSCPageDaily[target_country],$B79,T09GSCPageDaily[language],$C79,T09GSCPageDaily[date],"&gt;="&amp;$A79,T09GSCPageDaily[date],"&lt;"&amp;DATE(YEAR($A79),MONTH($A79)+1,1),T09GSCPageDaily[data_state],"final"))</x:f>
      </x:c>
      <x:c r="F79" s="24" t="str">
        <x:f>IF(D79=0,"",SUMIFS(T09GSCPageDaily[impressions],T09GSCPageDaily[target_country],$B79,T09GSCPageDaily[language],$C79,T09GSCPageDaily[date],"&gt;="&amp;$A79,T09GSCPageDaily[date],"&lt;"&amp;DATE(YEAR($A79),MONTH($A79)+1,1),T09GSCPageDaily[data_state],"final"))</x:f>
      </x:c>
      <x:c r="G79" s="28" t="str">
        <x:f>IFERROR(IF(D79=0,"",E79/F79),"")</x:f>
      </x:c>
      <x:c r="H79" s="26" t="str">
        <x:f>IF(D79=0,"",IFERROR(SUMPRODUCT((T09GSCPageDaily[target_country]=$B79)*(T09GSCPageDaily[language]=$C79)*(T09GSCPageDaily[date]&gt;=$A79)*(T09GSCPageDaily[date]&lt;DATE(YEAR($A79),MONTH($A79)+1,1))*(T09GSCPageDaily[data_state]="final")*T09GSCPageDaily[avg_position]*T09GSCPageDaily[impressions])/F79,""))</x:f>
      </x:c>
      <x:c r="I79" s="18" t="n">
        <x:f>COUNTIFS(T11GA4LandingDaily[target_country],$B79,T11GA4LandingDaily[language],$C79,T11GA4LandingDaily[date],"&gt;="&amp;$A79,T11GA4LandingDaily[date],"&lt;"&amp;DATE(YEAR($A79),MONTH($A79)+1,1),T11GA4LandingDaily[session_channel],"Organic Search",T11GA4LandingDaily[data_quality],"Measured")</x:f>
        <x:v>0</x:v>
      </x:c>
      <x:c r="J79" s="18" t="str">
        <x:f>IF(I79=0,"",SUMIFS(T11GA4LandingDaily[sessions],T11GA4LandingDaily[target_country],$B79,T11GA4LandingDaily[language],$C79,T11GA4LandingDaily[date],"&gt;="&amp;$A79,T11GA4LandingDaily[date],"&lt;"&amp;DATE(YEAR($A79),MONTH($A79)+1,1),T11GA4LandingDaily[session_channel],"Organic Search",T11GA4LandingDaily[data_quality],"Measured"))</x:f>
      </x:c>
      <x:c r="K79" s="24" t="str">
        <x:f>IF(I79=0,"",SUMIFS(T11GA4LandingDaily[engaged_sessions],T11GA4LandingDaily[target_country],$B79,T11GA4LandingDaily[language],$C79,T11GA4LandingDaily[date],"&gt;="&amp;$A79,T11GA4LandingDaily[date],"&lt;"&amp;DATE(YEAR($A79),MONTH($A79)+1,1),T11GA4LandingDaily[session_channel],"Organic Search",T11GA4LandingDaily[data_quality],"Measured"))</x:f>
      </x:c>
      <x:c r="L79" s="28" t="str">
        <x:f>IFERROR(IF(I79=0,"",K79/J79),"")</x:f>
      </x:c>
      <x:c r="M79" s="24" t="str">
        <x:f>IF(I79=0,"",SUMIFS(T11GA4LandingDaily[key_events],T11GA4LandingDaily[target_country],$B79,T11GA4LandingDaily[language],$C79,T11GA4LandingDaily[date],"&gt;="&amp;$A79,T11GA4LandingDaily[date],"&lt;"&amp;DATE(YEAR($A79),MONTH($A79)+1,1),T11GA4LandingDaily[session_channel],"Organic Search",T11GA4LandingDaily[data_quality],"Measured"))</x:f>
      </x:c>
      <x:c r="N79" s="24" t="str">
        <x:f>IF(I79=0,"",SUMIFS(T11GA4LandingDaily[booking_starts],T11GA4LandingDaily[target_country],$B79,T11GA4LandingDaily[language],$C79,T11GA4LandingDaily[date],"&gt;="&amp;$A79,T11GA4LandingDaily[date],"&lt;"&amp;DATE(YEAR($A79),MONTH($A79)+1,1),T11GA4LandingDaily[session_channel],"Organic Search",T11GA4LandingDaily[data_quality],"Measured"))</x:f>
      </x:c>
      <x:c r="O79" s="24" t="str">
        <x:f>IF(I79=0,"",SUMIFS(T11GA4LandingDaily[purchases],T11GA4LandingDaily[target_country],$B79,T11GA4LandingDaily[language],$C79,T11GA4LandingDaily[date],"&gt;="&amp;$A79,T11GA4LandingDaily[date],"&lt;"&amp;DATE(YEAR($A79),MONTH($A79)+1,1),T11GA4LandingDaily[session_channel],"Organic Search",T11GA4LandingDaily[data_quality],"Measured"))</x:f>
      </x:c>
      <x:c r="P79" s="18" t="str">
        <x:f>IF(OR(I79=0,'25_Config'!$B$11=""),"",IF(COUNTIFS(T11GA4LandingDaily[target_country],$B79,T11GA4LandingDaily[language],$C79,T11GA4LandingDaily[date],"&gt;="&amp;$A79,T11GA4LandingDaily[date],"&lt;"&amp;DATE(YEAR($A79),MONTH($A79)+1,1),T11GA4LandingDaily[session_channel],"Organic Search",T11GA4LandingDaily[data_quality],"Measured",T11GA4LandingDaily[currency],"&lt;&gt;"&amp;'25_Config'!$B$11)&gt;0,"",SUMIFS(T11GA4LandingDaily[purchase_revenue],T11GA4LandingDaily[target_country],$B79,T11GA4LandingDaily[language],$C79,T11GA4LandingDaily[date],"&gt;="&amp;$A79,T11GA4LandingDaily[date],"&lt;"&amp;DATE(YEAR($A79),MONTH($A79)+1,1),T11GA4LandingDaily[session_channel],"Organic Search",T11GA4LandingDaily[data_quality],"Measured")))</x:f>
      </x:c>
      <x:c r="Q79" s="18" t="str">
        <x:f>IF(P79="","",'25_Config'!$B$11)</x:f>
      </x:c>
      <x:c r="R79" s="28"/>
      <x:c r="S79" s="18" t="str">
        <x:f>IF(AND(D79=0,I79=0),"Not refreshed","Check completeness, gaps and sample size")</x:f>
        <x:v>Not refreshed</x:v>
      </x:c>
    </x:row>
    <x:row r="80" ht="30" customHeight="1">
      <x:c r="A80" s="22" t="n">
        <x:v>46266</x:v>
      </x:c>
      <x:c r="B80" s="18" t="str">
        <x:v>Czechia</x:v>
      </x:c>
      <x:c r="C80" s="18" t="str">
        <x:v>pt</x:v>
      </x:c>
      <x:c r="D80" s="18" t="n">
        <x:f>COUNTIFS(T09GSCPageDaily[target_country],$B80,T09GSCPageDaily[language],$C80,T09GSCPageDaily[date],"&gt;="&amp;$A80,T09GSCPageDaily[date],"&lt;"&amp;DATE(YEAR($A80),MONTH($A80)+1,1),T09GSCPageDaily[data_state],"final")</x:f>
        <x:v>0</x:v>
      </x:c>
      <x:c r="E80" s="24" t="str">
        <x:f>IF(D80=0,"",SUMIFS(T09GSCPageDaily[clicks],T09GSCPageDaily[target_country],$B80,T09GSCPageDaily[language],$C80,T09GSCPageDaily[date],"&gt;="&amp;$A80,T09GSCPageDaily[date],"&lt;"&amp;DATE(YEAR($A80),MONTH($A80)+1,1),T09GSCPageDaily[data_state],"final"))</x:f>
      </x:c>
      <x:c r="F80" s="24" t="str">
        <x:f>IF(D80=0,"",SUMIFS(T09GSCPageDaily[impressions],T09GSCPageDaily[target_country],$B80,T09GSCPageDaily[language],$C80,T09GSCPageDaily[date],"&gt;="&amp;$A80,T09GSCPageDaily[date],"&lt;"&amp;DATE(YEAR($A80),MONTH($A80)+1,1),T09GSCPageDaily[data_state],"final"))</x:f>
      </x:c>
      <x:c r="G80" s="28" t="str">
        <x:f>IFERROR(IF(D80=0,"",E80/F80),"")</x:f>
      </x:c>
      <x:c r="H80" s="26" t="str">
        <x:f>IF(D80=0,"",IFERROR(SUMPRODUCT((T09GSCPageDaily[target_country]=$B80)*(T09GSCPageDaily[language]=$C80)*(T09GSCPageDaily[date]&gt;=$A80)*(T09GSCPageDaily[date]&lt;DATE(YEAR($A80),MONTH($A80)+1,1))*(T09GSCPageDaily[data_state]="final")*T09GSCPageDaily[avg_position]*T09GSCPageDaily[impressions])/F80,""))</x:f>
      </x:c>
      <x:c r="I80" s="18" t="n">
        <x:f>COUNTIFS(T11GA4LandingDaily[target_country],$B80,T11GA4LandingDaily[language],$C80,T11GA4LandingDaily[date],"&gt;="&amp;$A80,T11GA4LandingDaily[date],"&lt;"&amp;DATE(YEAR($A80),MONTH($A80)+1,1),T11GA4LandingDaily[session_channel],"Organic Search",T11GA4LandingDaily[data_quality],"Measured")</x:f>
        <x:v>0</x:v>
      </x:c>
      <x:c r="J80" s="18" t="str">
        <x:f>IF(I80=0,"",SUMIFS(T11GA4LandingDaily[sessions],T11GA4LandingDaily[target_country],$B80,T11GA4LandingDaily[language],$C80,T11GA4LandingDaily[date],"&gt;="&amp;$A80,T11GA4LandingDaily[date],"&lt;"&amp;DATE(YEAR($A80),MONTH($A80)+1,1),T11GA4LandingDaily[session_channel],"Organic Search",T11GA4LandingDaily[data_quality],"Measured"))</x:f>
      </x:c>
      <x:c r="K80" s="24" t="str">
        <x:f>IF(I80=0,"",SUMIFS(T11GA4LandingDaily[engaged_sessions],T11GA4LandingDaily[target_country],$B80,T11GA4LandingDaily[language],$C80,T11GA4LandingDaily[date],"&gt;="&amp;$A80,T11GA4LandingDaily[date],"&lt;"&amp;DATE(YEAR($A80),MONTH($A80)+1,1),T11GA4LandingDaily[session_channel],"Organic Search",T11GA4LandingDaily[data_quality],"Measured"))</x:f>
      </x:c>
      <x:c r="L80" s="28" t="str">
        <x:f>IFERROR(IF(I80=0,"",K80/J80),"")</x:f>
      </x:c>
      <x:c r="M80" s="24" t="str">
        <x:f>IF(I80=0,"",SUMIFS(T11GA4LandingDaily[key_events],T11GA4LandingDaily[target_country],$B80,T11GA4LandingDaily[language],$C80,T11GA4LandingDaily[date],"&gt;="&amp;$A80,T11GA4LandingDaily[date],"&lt;"&amp;DATE(YEAR($A80),MONTH($A80)+1,1),T11GA4LandingDaily[session_channel],"Organic Search",T11GA4LandingDaily[data_quality],"Measured"))</x:f>
      </x:c>
      <x:c r="N80" s="24" t="str">
        <x:f>IF(I80=0,"",SUMIFS(T11GA4LandingDaily[booking_starts],T11GA4LandingDaily[target_country],$B80,T11GA4LandingDaily[language],$C80,T11GA4LandingDaily[date],"&gt;="&amp;$A80,T11GA4LandingDaily[date],"&lt;"&amp;DATE(YEAR($A80),MONTH($A80)+1,1),T11GA4LandingDaily[session_channel],"Organic Search",T11GA4LandingDaily[data_quality],"Measured"))</x:f>
      </x:c>
      <x:c r="O80" s="24" t="str">
        <x:f>IF(I80=0,"",SUMIFS(T11GA4LandingDaily[purchases],T11GA4LandingDaily[target_country],$B80,T11GA4LandingDaily[language],$C80,T11GA4LandingDaily[date],"&gt;="&amp;$A80,T11GA4LandingDaily[date],"&lt;"&amp;DATE(YEAR($A80),MONTH($A80)+1,1),T11GA4LandingDaily[session_channel],"Organic Search",T11GA4LandingDaily[data_quality],"Measured"))</x:f>
      </x:c>
      <x:c r="P80" s="18" t="str">
        <x:f>IF(OR(I80=0,'25_Config'!$B$11=""),"",IF(COUNTIFS(T11GA4LandingDaily[target_country],$B80,T11GA4LandingDaily[language],$C80,T11GA4LandingDaily[date],"&gt;="&amp;$A80,T11GA4LandingDaily[date],"&lt;"&amp;DATE(YEAR($A80),MONTH($A80)+1,1),T11GA4LandingDaily[session_channel],"Organic Search",T11GA4LandingDaily[data_quality],"Measured",T11GA4LandingDaily[currency],"&lt;&gt;"&amp;'25_Config'!$B$11)&gt;0,"",SUMIFS(T11GA4LandingDaily[purchase_revenue],T11GA4LandingDaily[target_country],$B80,T11GA4LandingDaily[language],$C80,T11GA4LandingDaily[date],"&gt;="&amp;$A80,T11GA4LandingDaily[date],"&lt;"&amp;DATE(YEAR($A80),MONTH($A80)+1,1),T11GA4LandingDaily[session_channel],"Organic Search",T11GA4LandingDaily[data_quality],"Measured")))</x:f>
      </x:c>
      <x:c r="Q80" s="18" t="str">
        <x:f>IF(P80="","",'25_Config'!$B$11)</x:f>
      </x:c>
      <x:c r="R80" s="28"/>
      <x:c r="S80" s="18" t="str">
        <x:f>IF(AND(D80=0,I80=0),"Not refreshed","Check completeness, gaps and sample size")</x:f>
        <x:v>Not refreshed</x:v>
      </x:c>
    </x:row>
    <x:row r="81" ht="30" customHeight="1">
      <x:c r="A81" s="22" t="n">
        <x:v>46266</x:v>
      </x:c>
      <x:c r="B81" s="18" t="str">
        <x:v>Czechia</x:v>
      </x:c>
      <x:c r="C81" s="18" t="str">
        <x:v>es</x:v>
      </x:c>
      <x:c r="D81" s="18" t="n">
        <x:f>COUNTIFS(T09GSCPageDaily[target_country],$B81,T09GSCPageDaily[language],$C81,T09GSCPageDaily[date],"&gt;="&amp;$A81,T09GSCPageDaily[date],"&lt;"&amp;DATE(YEAR($A81),MONTH($A81)+1,1),T09GSCPageDaily[data_state],"final")</x:f>
        <x:v>0</x:v>
      </x:c>
      <x:c r="E81" s="24" t="str">
        <x:f>IF(D81=0,"",SUMIFS(T09GSCPageDaily[clicks],T09GSCPageDaily[target_country],$B81,T09GSCPageDaily[language],$C81,T09GSCPageDaily[date],"&gt;="&amp;$A81,T09GSCPageDaily[date],"&lt;"&amp;DATE(YEAR($A81),MONTH($A81)+1,1),T09GSCPageDaily[data_state],"final"))</x:f>
      </x:c>
      <x:c r="F81" s="24" t="str">
        <x:f>IF(D81=0,"",SUMIFS(T09GSCPageDaily[impressions],T09GSCPageDaily[target_country],$B81,T09GSCPageDaily[language],$C81,T09GSCPageDaily[date],"&gt;="&amp;$A81,T09GSCPageDaily[date],"&lt;"&amp;DATE(YEAR($A81),MONTH($A81)+1,1),T09GSCPageDaily[data_state],"final"))</x:f>
      </x:c>
      <x:c r="G81" s="28" t="str">
        <x:f>IFERROR(IF(D81=0,"",E81/F81),"")</x:f>
      </x:c>
      <x:c r="H81" s="26" t="str">
        <x:f>IF(D81=0,"",IFERROR(SUMPRODUCT((T09GSCPageDaily[target_country]=$B81)*(T09GSCPageDaily[language]=$C81)*(T09GSCPageDaily[date]&gt;=$A81)*(T09GSCPageDaily[date]&lt;DATE(YEAR($A81),MONTH($A81)+1,1))*(T09GSCPageDaily[data_state]="final")*T09GSCPageDaily[avg_position]*T09GSCPageDaily[impressions])/F81,""))</x:f>
      </x:c>
      <x:c r="I81" s="18" t="n">
        <x:f>COUNTIFS(T11GA4LandingDaily[target_country],$B81,T11GA4LandingDaily[language],$C81,T11GA4LandingDaily[date],"&gt;="&amp;$A81,T11GA4LandingDaily[date],"&lt;"&amp;DATE(YEAR($A81),MONTH($A81)+1,1),T11GA4LandingDaily[session_channel],"Organic Search",T11GA4LandingDaily[data_quality],"Measured")</x:f>
        <x:v>0</x:v>
      </x:c>
      <x:c r="J81" s="18" t="str">
        <x:f>IF(I81=0,"",SUMIFS(T11GA4LandingDaily[sessions],T11GA4LandingDaily[target_country],$B81,T11GA4LandingDaily[language],$C81,T11GA4LandingDaily[date],"&gt;="&amp;$A81,T11GA4LandingDaily[date],"&lt;"&amp;DATE(YEAR($A81),MONTH($A81)+1,1),T11GA4LandingDaily[session_channel],"Organic Search",T11GA4LandingDaily[data_quality],"Measured"))</x:f>
      </x:c>
      <x:c r="K81" s="24" t="str">
        <x:f>IF(I81=0,"",SUMIFS(T11GA4LandingDaily[engaged_sessions],T11GA4LandingDaily[target_country],$B81,T11GA4LandingDaily[language],$C81,T11GA4LandingDaily[date],"&gt;="&amp;$A81,T11GA4LandingDaily[date],"&lt;"&amp;DATE(YEAR($A81),MONTH($A81)+1,1),T11GA4LandingDaily[session_channel],"Organic Search",T11GA4LandingDaily[data_quality],"Measured"))</x:f>
      </x:c>
      <x:c r="L81" s="28" t="str">
        <x:f>IFERROR(IF(I81=0,"",K81/J81),"")</x:f>
      </x:c>
      <x:c r="M81" s="24" t="str">
        <x:f>IF(I81=0,"",SUMIFS(T11GA4LandingDaily[key_events],T11GA4LandingDaily[target_country],$B81,T11GA4LandingDaily[language],$C81,T11GA4LandingDaily[date],"&gt;="&amp;$A81,T11GA4LandingDaily[date],"&lt;"&amp;DATE(YEAR($A81),MONTH($A81)+1,1),T11GA4LandingDaily[session_channel],"Organic Search",T11GA4LandingDaily[data_quality],"Measured"))</x:f>
      </x:c>
      <x:c r="N81" s="24" t="str">
        <x:f>IF(I81=0,"",SUMIFS(T11GA4LandingDaily[booking_starts],T11GA4LandingDaily[target_country],$B81,T11GA4LandingDaily[language],$C81,T11GA4LandingDaily[date],"&gt;="&amp;$A81,T11GA4LandingDaily[date],"&lt;"&amp;DATE(YEAR($A81),MONTH($A81)+1,1),T11GA4LandingDaily[session_channel],"Organic Search",T11GA4LandingDaily[data_quality],"Measured"))</x:f>
      </x:c>
      <x:c r="O81" s="24" t="str">
        <x:f>IF(I81=0,"",SUMIFS(T11GA4LandingDaily[purchases],T11GA4LandingDaily[target_country],$B81,T11GA4LandingDaily[language],$C81,T11GA4LandingDaily[date],"&gt;="&amp;$A81,T11GA4LandingDaily[date],"&lt;"&amp;DATE(YEAR($A81),MONTH($A81)+1,1),T11GA4LandingDaily[session_channel],"Organic Search",T11GA4LandingDaily[data_quality],"Measured"))</x:f>
      </x:c>
      <x:c r="P81" s="18" t="str">
        <x:f>IF(OR(I81=0,'25_Config'!$B$11=""),"",IF(COUNTIFS(T11GA4LandingDaily[target_country],$B81,T11GA4LandingDaily[language],$C81,T11GA4LandingDaily[date],"&gt;="&amp;$A81,T11GA4LandingDaily[date],"&lt;"&amp;DATE(YEAR($A81),MONTH($A81)+1,1),T11GA4LandingDaily[session_channel],"Organic Search",T11GA4LandingDaily[data_quality],"Measured",T11GA4LandingDaily[currency],"&lt;&gt;"&amp;'25_Config'!$B$11)&gt;0,"",SUMIFS(T11GA4LandingDaily[purchase_revenue],T11GA4LandingDaily[target_country],$B81,T11GA4LandingDaily[language],$C81,T11GA4LandingDaily[date],"&gt;="&amp;$A81,T11GA4LandingDaily[date],"&lt;"&amp;DATE(YEAR($A81),MONTH($A81)+1,1),T11GA4LandingDaily[session_channel],"Organic Search",T11GA4LandingDaily[data_quality],"Measured")))</x:f>
      </x:c>
      <x:c r="Q81" s="18" t="str">
        <x:f>IF(P81="","",'25_Config'!$B$11)</x:f>
      </x:c>
      <x:c r="R81" s="28"/>
      <x:c r="S81" s="18" t="str">
        <x:f>IF(AND(D81=0,I81=0),"Not refreshed","Check completeness, gaps and sample size")</x:f>
        <x:v>Not refreshed</x:v>
      </x:c>
    </x:row>
    <x:row r="82" ht="30" customHeight="1">
      <x:c r="A82" s="22" t="n">
        <x:v>46266</x:v>
      </x:c>
      <x:c r="B82" s="18" t="str">
        <x:v>Czechia</x:v>
      </x:c>
      <x:c r="C82" s="18" t="str">
        <x:v>ro</x:v>
      </x:c>
      <x:c r="D82" s="18" t="n">
        <x:f>COUNTIFS(T09GSCPageDaily[target_country],$B82,T09GSCPageDaily[language],$C82,T09GSCPageDaily[date],"&gt;="&amp;$A82,T09GSCPageDaily[date],"&lt;"&amp;DATE(YEAR($A82),MONTH($A82)+1,1),T09GSCPageDaily[data_state],"final")</x:f>
        <x:v>0</x:v>
      </x:c>
      <x:c r="E82" s="24" t="str">
        <x:f>IF(D82=0,"",SUMIFS(T09GSCPageDaily[clicks],T09GSCPageDaily[target_country],$B82,T09GSCPageDaily[language],$C82,T09GSCPageDaily[date],"&gt;="&amp;$A82,T09GSCPageDaily[date],"&lt;"&amp;DATE(YEAR($A82),MONTH($A82)+1,1),T09GSCPageDaily[data_state],"final"))</x:f>
      </x:c>
      <x:c r="F82" s="24" t="str">
        <x:f>IF(D82=0,"",SUMIFS(T09GSCPageDaily[impressions],T09GSCPageDaily[target_country],$B82,T09GSCPageDaily[language],$C82,T09GSCPageDaily[date],"&gt;="&amp;$A82,T09GSCPageDaily[date],"&lt;"&amp;DATE(YEAR($A82),MONTH($A82)+1,1),T09GSCPageDaily[data_state],"final"))</x:f>
      </x:c>
      <x:c r="G82" s="28" t="str">
        <x:f>IFERROR(IF(D82=0,"",E82/F82),"")</x:f>
      </x:c>
      <x:c r="H82" s="26" t="str">
        <x:f>IF(D82=0,"",IFERROR(SUMPRODUCT((T09GSCPageDaily[target_country]=$B82)*(T09GSCPageDaily[language]=$C82)*(T09GSCPageDaily[date]&gt;=$A82)*(T09GSCPageDaily[date]&lt;DATE(YEAR($A82),MONTH($A82)+1,1))*(T09GSCPageDaily[data_state]="final")*T09GSCPageDaily[avg_position]*T09GSCPageDaily[impressions])/F82,""))</x:f>
      </x:c>
      <x:c r="I82" s="18" t="n">
        <x:f>COUNTIFS(T11GA4LandingDaily[target_country],$B82,T11GA4LandingDaily[language],$C82,T11GA4LandingDaily[date],"&gt;="&amp;$A82,T11GA4LandingDaily[date],"&lt;"&amp;DATE(YEAR($A82),MONTH($A82)+1,1),T11GA4LandingDaily[session_channel],"Organic Search",T11GA4LandingDaily[data_quality],"Measured")</x:f>
        <x:v>0</x:v>
      </x:c>
      <x:c r="J82" s="18" t="str">
        <x:f>IF(I82=0,"",SUMIFS(T11GA4LandingDaily[sessions],T11GA4LandingDaily[target_country],$B82,T11GA4LandingDaily[language],$C82,T11GA4LandingDaily[date],"&gt;="&amp;$A82,T11GA4LandingDaily[date],"&lt;"&amp;DATE(YEAR($A82),MONTH($A82)+1,1),T11GA4LandingDaily[session_channel],"Organic Search",T11GA4LandingDaily[data_quality],"Measured"))</x:f>
      </x:c>
      <x:c r="K82" s="24" t="str">
        <x:f>IF(I82=0,"",SUMIFS(T11GA4LandingDaily[engaged_sessions],T11GA4LandingDaily[target_country],$B82,T11GA4LandingDaily[language],$C82,T11GA4LandingDaily[date],"&gt;="&amp;$A82,T11GA4LandingDaily[date],"&lt;"&amp;DATE(YEAR($A82),MONTH($A82)+1,1),T11GA4LandingDaily[session_channel],"Organic Search",T11GA4LandingDaily[data_quality],"Measured"))</x:f>
      </x:c>
      <x:c r="L82" s="28" t="str">
        <x:f>IFERROR(IF(I82=0,"",K82/J82),"")</x:f>
      </x:c>
      <x:c r="M82" s="24" t="str">
        <x:f>IF(I82=0,"",SUMIFS(T11GA4LandingDaily[key_events],T11GA4LandingDaily[target_country],$B82,T11GA4LandingDaily[language],$C82,T11GA4LandingDaily[date],"&gt;="&amp;$A82,T11GA4LandingDaily[date],"&lt;"&amp;DATE(YEAR($A82),MONTH($A82)+1,1),T11GA4LandingDaily[session_channel],"Organic Search",T11GA4LandingDaily[data_quality],"Measured"))</x:f>
      </x:c>
      <x:c r="N82" s="24" t="str">
        <x:f>IF(I82=0,"",SUMIFS(T11GA4LandingDaily[booking_starts],T11GA4LandingDaily[target_country],$B82,T11GA4LandingDaily[language],$C82,T11GA4LandingDaily[date],"&gt;="&amp;$A82,T11GA4LandingDaily[date],"&lt;"&amp;DATE(YEAR($A82),MONTH($A82)+1,1),T11GA4LandingDaily[session_channel],"Organic Search",T11GA4LandingDaily[data_quality],"Measured"))</x:f>
      </x:c>
      <x:c r="O82" s="24" t="str">
        <x:f>IF(I82=0,"",SUMIFS(T11GA4LandingDaily[purchases],T11GA4LandingDaily[target_country],$B82,T11GA4LandingDaily[language],$C82,T11GA4LandingDaily[date],"&gt;="&amp;$A82,T11GA4LandingDaily[date],"&lt;"&amp;DATE(YEAR($A82),MONTH($A82)+1,1),T11GA4LandingDaily[session_channel],"Organic Search",T11GA4LandingDaily[data_quality],"Measured"))</x:f>
      </x:c>
      <x:c r="P82" s="18" t="str">
        <x:f>IF(OR(I82=0,'25_Config'!$B$11=""),"",IF(COUNTIFS(T11GA4LandingDaily[target_country],$B82,T11GA4LandingDaily[language],$C82,T11GA4LandingDaily[date],"&gt;="&amp;$A82,T11GA4LandingDaily[date],"&lt;"&amp;DATE(YEAR($A82),MONTH($A82)+1,1),T11GA4LandingDaily[session_channel],"Organic Search",T11GA4LandingDaily[data_quality],"Measured",T11GA4LandingDaily[currency],"&lt;&gt;"&amp;'25_Config'!$B$11)&gt;0,"",SUMIFS(T11GA4LandingDaily[purchase_revenue],T11GA4LandingDaily[target_country],$B82,T11GA4LandingDaily[language],$C82,T11GA4LandingDaily[date],"&gt;="&amp;$A82,T11GA4LandingDaily[date],"&lt;"&amp;DATE(YEAR($A82),MONTH($A82)+1,1),T11GA4LandingDaily[session_channel],"Organic Search",T11GA4LandingDaily[data_quality],"Measured")))</x:f>
      </x:c>
      <x:c r="Q82" s="18" t="str">
        <x:f>IF(P82="","",'25_Config'!$B$11)</x:f>
      </x:c>
      <x:c r="R82" s="28"/>
      <x:c r="S82" s="18" t="str">
        <x:f>IF(AND(D82=0,I82=0),"Not refreshed","Check completeness, gaps and sample size")</x:f>
        <x:v>Not refreshed</x:v>
      </x:c>
    </x:row>
    <x:row r="83" ht="30" customHeight="1">
      <x:c r="A83" s="22" t="n">
        <x:v>46266</x:v>
      </x:c>
      <x:c r="B83" s="18" t="str">
        <x:v>Czechia</x:v>
      </x:c>
      <x:c r="C83" s="18" t="str">
        <x:v>de</x:v>
      </x:c>
      <x:c r="D83" s="18" t="n">
        <x:f>COUNTIFS(T09GSCPageDaily[target_country],$B83,T09GSCPageDaily[language],$C83,T09GSCPageDaily[date],"&gt;="&amp;$A83,T09GSCPageDaily[date],"&lt;"&amp;DATE(YEAR($A83),MONTH($A83)+1,1),T09GSCPageDaily[data_state],"final")</x:f>
        <x:v>0</x:v>
      </x:c>
      <x:c r="E83" s="24" t="str">
        <x:f>IF(D83=0,"",SUMIFS(T09GSCPageDaily[clicks],T09GSCPageDaily[target_country],$B83,T09GSCPageDaily[language],$C83,T09GSCPageDaily[date],"&gt;="&amp;$A83,T09GSCPageDaily[date],"&lt;"&amp;DATE(YEAR($A83),MONTH($A83)+1,1),T09GSCPageDaily[data_state],"final"))</x:f>
      </x:c>
      <x:c r="F83" s="24" t="str">
        <x:f>IF(D83=0,"",SUMIFS(T09GSCPageDaily[impressions],T09GSCPageDaily[target_country],$B83,T09GSCPageDaily[language],$C83,T09GSCPageDaily[date],"&gt;="&amp;$A83,T09GSCPageDaily[date],"&lt;"&amp;DATE(YEAR($A83),MONTH($A83)+1,1),T09GSCPageDaily[data_state],"final"))</x:f>
      </x:c>
      <x:c r="G83" s="28" t="str">
        <x:f>IFERROR(IF(D83=0,"",E83/F83),"")</x:f>
      </x:c>
      <x:c r="H83" s="26" t="str">
        <x:f>IF(D83=0,"",IFERROR(SUMPRODUCT((T09GSCPageDaily[target_country]=$B83)*(T09GSCPageDaily[language]=$C83)*(T09GSCPageDaily[date]&gt;=$A83)*(T09GSCPageDaily[date]&lt;DATE(YEAR($A83),MONTH($A83)+1,1))*(T09GSCPageDaily[data_state]="final")*T09GSCPageDaily[avg_position]*T09GSCPageDaily[impressions])/F83,""))</x:f>
      </x:c>
      <x:c r="I83" s="18" t="n">
        <x:f>COUNTIFS(T11GA4LandingDaily[target_country],$B83,T11GA4LandingDaily[language],$C83,T11GA4LandingDaily[date],"&gt;="&amp;$A83,T11GA4LandingDaily[date],"&lt;"&amp;DATE(YEAR($A83),MONTH($A83)+1,1),T11GA4LandingDaily[session_channel],"Organic Search",T11GA4LandingDaily[data_quality],"Measured")</x:f>
        <x:v>0</x:v>
      </x:c>
      <x:c r="J83" s="18" t="str">
        <x:f>IF(I83=0,"",SUMIFS(T11GA4LandingDaily[sessions],T11GA4LandingDaily[target_country],$B83,T11GA4LandingDaily[language],$C83,T11GA4LandingDaily[date],"&gt;="&amp;$A83,T11GA4LandingDaily[date],"&lt;"&amp;DATE(YEAR($A83),MONTH($A83)+1,1),T11GA4LandingDaily[session_channel],"Organic Search",T11GA4LandingDaily[data_quality],"Measured"))</x:f>
      </x:c>
      <x:c r="K83" s="24" t="str">
        <x:f>IF(I83=0,"",SUMIFS(T11GA4LandingDaily[engaged_sessions],T11GA4LandingDaily[target_country],$B83,T11GA4LandingDaily[language],$C83,T11GA4LandingDaily[date],"&gt;="&amp;$A83,T11GA4LandingDaily[date],"&lt;"&amp;DATE(YEAR($A83),MONTH($A83)+1,1),T11GA4LandingDaily[session_channel],"Organic Search",T11GA4LandingDaily[data_quality],"Measured"))</x:f>
      </x:c>
      <x:c r="L83" s="28" t="str">
        <x:f>IFERROR(IF(I83=0,"",K83/J83),"")</x:f>
      </x:c>
      <x:c r="M83" s="24" t="str">
        <x:f>IF(I83=0,"",SUMIFS(T11GA4LandingDaily[key_events],T11GA4LandingDaily[target_country],$B83,T11GA4LandingDaily[language],$C83,T11GA4LandingDaily[date],"&gt;="&amp;$A83,T11GA4LandingDaily[date],"&lt;"&amp;DATE(YEAR($A83),MONTH($A83)+1,1),T11GA4LandingDaily[session_channel],"Organic Search",T11GA4LandingDaily[data_quality],"Measured"))</x:f>
      </x:c>
      <x:c r="N83" s="24" t="str">
        <x:f>IF(I83=0,"",SUMIFS(T11GA4LandingDaily[booking_starts],T11GA4LandingDaily[target_country],$B83,T11GA4LandingDaily[language],$C83,T11GA4LandingDaily[date],"&gt;="&amp;$A83,T11GA4LandingDaily[date],"&lt;"&amp;DATE(YEAR($A83),MONTH($A83)+1,1),T11GA4LandingDaily[session_channel],"Organic Search",T11GA4LandingDaily[data_quality],"Measured"))</x:f>
      </x:c>
      <x:c r="O83" s="24" t="str">
        <x:f>IF(I83=0,"",SUMIFS(T11GA4LandingDaily[purchases],T11GA4LandingDaily[target_country],$B83,T11GA4LandingDaily[language],$C83,T11GA4LandingDaily[date],"&gt;="&amp;$A83,T11GA4LandingDaily[date],"&lt;"&amp;DATE(YEAR($A83),MONTH($A83)+1,1),T11GA4LandingDaily[session_channel],"Organic Search",T11GA4LandingDaily[data_quality],"Measured"))</x:f>
      </x:c>
      <x:c r="P83" s="18" t="str">
        <x:f>IF(OR(I83=0,'25_Config'!$B$11=""),"",IF(COUNTIFS(T11GA4LandingDaily[target_country],$B83,T11GA4LandingDaily[language],$C83,T11GA4LandingDaily[date],"&gt;="&amp;$A83,T11GA4LandingDaily[date],"&lt;"&amp;DATE(YEAR($A83),MONTH($A83)+1,1),T11GA4LandingDaily[session_channel],"Organic Search",T11GA4LandingDaily[data_quality],"Measured",T11GA4LandingDaily[currency],"&lt;&gt;"&amp;'25_Config'!$B$11)&gt;0,"",SUMIFS(T11GA4LandingDaily[purchase_revenue],T11GA4LandingDaily[target_country],$B83,T11GA4LandingDaily[language],$C83,T11GA4LandingDaily[date],"&gt;="&amp;$A83,T11GA4LandingDaily[date],"&lt;"&amp;DATE(YEAR($A83),MONTH($A83)+1,1),T11GA4LandingDaily[session_channel],"Organic Search",T11GA4LandingDaily[data_quality],"Measured")))</x:f>
      </x:c>
      <x:c r="Q83" s="18" t="str">
        <x:f>IF(P83="","",'25_Config'!$B$11)</x:f>
      </x:c>
      <x:c r="R83" s="28"/>
      <x:c r="S83" s="18" t="str">
        <x:f>IF(AND(D83=0,I83=0),"Not refreshed","Check completeness, gaps and sample size")</x:f>
        <x:v>Not refreshed</x:v>
      </x:c>
    </x:row>
    <x:row r="84" ht="30" customHeight="1">
      <x:c r="A84" s="22" t="n">
        <x:v>46266</x:v>
      </x:c>
      <x:c r="B84" s="18" t="str">
        <x:v>Portugal</x:v>
      </x:c>
      <x:c r="C84" s="18" t="str">
        <x:v>pt</x:v>
      </x:c>
      <x:c r="D84" s="18" t="n">
        <x:f>COUNTIFS(T09GSCPageDaily[target_country],$B84,T09GSCPageDaily[language],$C84,T09GSCPageDaily[date],"&gt;="&amp;$A84,T09GSCPageDaily[date],"&lt;"&amp;DATE(YEAR($A84),MONTH($A84)+1,1),T09GSCPageDaily[data_state],"final")</x:f>
        <x:v>0</x:v>
      </x:c>
      <x:c r="E84" s="24" t="str">
        <x:f>IF(D84=0,"",SUMIFS(T09GSCPageDaily[clicks],T09GSCPageDaily[target_country],$B84,T09GSCPageDaily[language],$C84,T09GSCPageDaily[date],"&gt;="&amp;$A84,T09GSCPageDaily[date],"&lt;"&amp;DATE(YEAR($A84),MONTH($A84)+1,1),T09GSCPageDaily[data_state],"final"))</x:f>
      </x:c>
      <x:c r="F84" s="24" t="str">
        <x:f>IF(D84=0,"",SUMIFS(T09GSCPageDaily[impressions],T09GSCPageDaily[target_country],$B84,T09GSCPageDaily[language],$C84,T09GSCPageDaily[date],"&gt;="&amp;$A84,T09GSCPageDaily[date],"&lt;"&amp;DATE(YEAR($A84),MONTH($A84)+1,1),T09GSCPageDaily[data_state],"final"))</x:f>
      </x:c>
      <x:c r="G84" s="28" t="str">
        <x:f>IFERROR(IF(D84=0,"",E84/F84),"")</x:f>
      </x:c>
      <x:c r="H84" s="26" t="str">
        <x:f>IF(D84=0,"",IFERROR(SUMPRODUCT((T09GSCPageDaily[target_country]=$B84)*(T09GSCPageDaily[language]=$C84)*(T09GSCPageDaily[date]&gt;=$A84)*(T09GSCPageDaily[date]&lt;DATE(YEAR($A84),MONTH($A84)+1,1))*(T09GSCPageDaily[data_state]="final")*T09GSCPageDaily[avg_position]*T09GSCPageDaily[impressions])/F84,""))</x:f>
      </x:c>
      <x:c r="I84" s="18" t="n">
        <x:f>COUNTIFS(T11GA4LandingDaily[target_country],$B84,T11GA4LandingDaily[language],$C84,T11GA4LandingDaily[date],"&gt;="&amp;$A84,T11GA4LandingDaily[date],"&lt;"&amp;DATE(YEAR($A84),MONTH($A84)+1,1),T11GA4LandingDaily[session_channel],"Organic Search",T11GA4LandingDaily[data_quality],"Measured")</x:f>
        <x:v>0</x:v>
      </x:c>
      <x:c r="J84" s="18" t="str">
        <x:f>IF(I84=0,"",SUMIFS(T11GA4LandingDaily[sessions],T11GA4LandingDaily[target_country],$B84,T11GA4LandingDaily[language],$C84,T11GA4LandingDaily[date],"&gt;="&amp;$A84,T11GA4LandingDaily[date],"&lt;"&amp;DATE(YEAR($A84),MONTH($A84)+1,1),T11GA4LandingDaily[session_channel],"Organic Search",T11GA4LandingDaily[data_quality],"Measured"))</x:f>
      </x:c>
      <x:c r="K84" s="24" t="str">
        <x:f>IF(I84=0,"",SUMIFS(T11GA4LandingDaily[engaged_sessions],T11GA4LandingDaily[target_country],$B84,T11GA4LandingDaily[language],$C84,T11GA4LandingDaily[date],"&gt;="&amp;$A84,T11GA4LandingDaily[date],"&lt;"&amp;DATE(YEAR($A84),MONTH($A84)+1,1),T11GA4LandingDaily[session_channel],"Organic Search",T11GA4LandingDaily[data_quality],"Measured"))</x:f>
      </x:c>
      <x:c r="L84" s="28" t="str">
        <x:f>IFERROR(IF(I84=0,"",K84/J84),"")</x:f>
      </x:c>
      <x:c r="M84" s="24" t="str">
        <x:f>IF(I84=0,"",SUMIFS(T11GA4LandingDaily[key_events],T11GA4LandingDaily[target_country],$B84,T11GA4LandingDaily[language],$C84,T11GA4LandingDaily[date],"&gt;="&amp;$A84,T11GA4LandingDaily[date],"&lt;"&amp;DATE(YEAR($A84),MONTH($A84)+1,1),T11GA4LandingDaily[session_channel],"Organic Search",T11GA4LandingDaily[data_quality],"Measured"))</x:f>
      </x:c>
      <x:c r="N84" s="24" t="str">
        <x:f>IF(I84=0,"",SUMIFS(T11GA4LandingDaily[booking_starts],T11GA4LandingDaily[target_country],$B84,T11GA4LandingDaily[language],$C84,T11GA4LandingDaily[date],"&gt;="&amp;$A84,T11GA4LandingDaily[date],"&lt;"&amp;DATE(YEAR($A84),MONTH($A84)+1,1),T11GA4LandingDaily[session_channel],"Organic Search",T11GA4LandingDaily[data_quality],"Measured"))</x:f>
      </x:c>
      <x:c r="O84" s="24" t="str">
        <x:f>IF(I84=0,"",SUMIFS(T11GA4LandingDaily[purchases],T11GA4LandingDaily[target_country],$B84,T11GA4LandingDaily[language],$C84,T11GA4LandingDaily[date],"&gt;="&amp;$A84,T11GA4LandingDaily[date],"&lt;"&amp;DATE(YEAR($A84),MONTH($A84)+1,1),T11GA4LandingDaily[session_channel],"Organic Search",T11GA4LandingDaily[data_quality],"Measured"))</x:f>
      </x:c>
      <x:c r="P84" s="18" t="str">
        <x:f>IF(OR(I84=0,'25_Config'!$B$11=""),"",IF(COUNTIFS(T11GA4LandingDaily[target_country],$B84,T11GA4LandingDaily[language],$C84,T11GA4LandingDaily[date],"&gt;="&amp;$A84,T11GA4LandingDaily[date],"&lt;"&amp;DATE(YEAR($A84),MONTH($A84)+1,1),T11GA4LandingDaily[session_channel],"Organic Search",T11GA4LandingDaily[data_quality],"Measured",T11GA4LandingDaily[currency],"&lt;&gt;"&amp;'25_Config'!$B$11)&gt;0,"",SUMIFS(T11GA4LandingDaily[purchase_revenue],T11GA4LandingDaily[target_country],$B84,T11GA4LandingDaily[language],$C84,T11GA4LandingDaily[date],"&gt;="&amp;$A84,T11GA4LandingDaily[date],"&lt;"&amp;DATE(YEAR($A84),MONTH($A84)+1,1),T11GA4LandingDaily[session_channel],"Organic Search",T11GA4LandingDaily[data_quality],"Measured")))</x:f>
      </x:c>
      <x:c r="Q84" s="18" t="str">
        <x:f>IF(P84="","",'25_Config'!$B$11)</x:f>
      </x:c>
      <x:c r="R84" s="28"/>
      <x:c r="S84" s="18" t="str">
        <x:f>IF(AND(D84=0,I84=0),"Not refreshed","Check completeness, gaps and sample size")</x:f>
        <x:v>Not refreshed</x:v>
      </x:c>
    </x:row>
    <x:row r="85" ht="30" customHeight="1">
      <x:c r="A85" s="22" t="n">
        <x:v>46266</x:v>
      </x:c>
      <x:c r="B85" s="18" t="str">
        <x:v>Portugal</x:v>
      </x:c>
      <x:c r="C85" s="18" t="str">
        <x:v>en</x:v>
      </x:c>
      <x:c r="D85" s="18" t="n">
        <x:f>COUNTIFS(T09GSCPageDaily[target_country],$B85,T09GSCPageDaily[language],$C85,T09GSCPageDaily[date],"&gt;="&amp;$A85,T09GSCPageDaily[date],"&lt;"&amp;DATE(YEAR($A85),MONTH($A85)+1,1),T09GSCPageDaily[data_state],"final")</x:f>
        <x:v>0</x:v>
      </x:c>
      <x:c r="E85" s="24" t="str">
        <x:f>IF(D85=0,"",SUMIFS(T09GSCPageDaily[clicks],T09GSCPageDaily[target_country],$B85,T09GSCPageDaily[language],$C85,T09GSCPageDaily[date],"&gt;="&amp;$A85,T09GSCPageDaily[date],"&lt;"&amp;DATE(YEAR($A85),MONTH($A85)+1,1),T09GSCPageDaily[data_state],"final"))</x:f>
      </x:c>
      <x:c r="F85" s="24" t="str">
        <x:f>IF(D85=0,"",SUMIFS(T09GSCPageDaily[impressions],T09GSCPageDaily[target_country],$B85,T09GSCPageDaily[language],$C85,T09GSCPageDaily[date],"&gt;="&amp;$A85,T09GSCPageDaily[date],"&lt;"&amp;DATE(YEAR($A85),MONTH($A85)+1,1),T09GSCPageDaily[data_state],"final"))</x:f>
      </x:c>
      <x:c r="G85" s="28" t="str">
        <x:f>IFERROR(IF(D85=0,"",E85/F85),"")</x:f>
      </x:c>
      <x:c r="H85" s="26" t="str">
        <x:f>IF(D85=0,"",IFERROR(SUMPRODUCT((T09GSCPageDaily[target_country]=$B85)*(T09GSCPageDaily[language]=$C85)*(T09GSCPageDaily[date]&gt;=$A85)*(T09GSCPageDaily[date]&lt;DATE(YEAR($A85),MONTH($A85)+1,1))*(T09GSCPageDaily[data_state]="final")*T09GSCPageDaily[avg_position]*T09GSCPageDaily[impressions])/F85,""))</x:f>
      </x:c>
      <x:c r="I85" s="18" t="n">
        <x:f>COUNTIFS(T11GA4LandingDaily[target_country],$B85,T11GA4LandingDaily[language],$C85,T11GA4LandingDaily[date],"&gt;="&amp;$A85,T11GA4LandingDaily[date],"&lt;"&amp;DATE(YEAR($A85),MONTH($A85)+1,1),T11GA4LandingDaily[session_channel],"Organic Search",T11GA4LandingDaily[data_quality],"Measured")</x:f>
        <x:v>0</x:v>
      </x:c>
      <x:c r="J85" s="18" t="str">
        <x:f>IF(I85=0,"",SUMIFS(T11GA4LandingDaily[sessions],T11GA4LandingDaily[target_country],$B85,T11GA4LandingDaily[language],$C85,T11GA4LandingDaily[date],"&gt;="&amp;$A85,T11GA4LandingDaily[date],"&lt;"&amp;DATE(YEAR($A85),MONTH($A85)+1,1),T11GA4LandingDaily[session_channel],"Organic Search",T11GA4LandingDaily[data_quality],"Measured"))</x:f>
      </x:c>
      <x:c r="K85" s="24" t="str">
        <x:f>IF(I85=0,"",SUMIFS(T11GA4LandingDaily[engaged_sessions],T11GA4LandingDaily[target_country],$B85,T11GA4LandingDaily[language],$C85,T11GA4LandingDaily[date],"&gt;="&amp;$A85,T11GA4LandingDaily[date],"&lt;"&amp;DATE(YEAR($A85),MONTH($A85)+1,1),T11GA4LandingDaily[session_channel],"Organic Search",T11GA4LandingDaily[data_quality],"Measured"))</x:f>
      </x:c>
      <x:c r="L85" s="28" t="str">
        <x:f>IFERROR(IF(I85=0,"",K85/J85),"")</x:f>
      </x:c>
      <x:c r="M85" s="24" t="str">
        <x:f>IF(I85=0,"",SUMIFS(T11GA4LandingDaily[key_events],T11GA4LandingDaily[target_country],$B85,T11GA4LandingDaily[language],$C85,T11GA4LandingDaily[date],"&gt;="&amp;$A85,T11GA4LandingDaily[date],"&lt;"&amp;DATE(YEAR($A85),MONTH($A85)+1,1),T11GA4LandingDaily[session_channel],"Organic Search",T11GA4LandingDaily[data_quality],"Measured"))</x:f>
      </x:c>
      <x:c r="N85" s="24" t="str">
        <x:f>IF(I85=0,"",SUMIFS(T11GA4LandingDaily[booking_starts],T11GA4LandingDaily[target_country],$B85,T11GA4LandingDaily[language],$C85,T11GA4LandingDaily[date],"&gt;="&amp;$A85,T11GA4LandingDaily[date],"&lt;"&amp;DATE(YEAR($A85),MONTH($A85)+1,1),T11GA4LandingDaily[session_channel],"Organic Search",T11GA4LandingDaily[data_quality],"Measured"))</x:f>
      </x:c>
      <x:c r="O85" s="24" t="str">
        <x:f>IF(I85=0,"",SUMIFS(T11GA4LandingDaily[purchases],T11GA4LandingDaily[target_country],$B85,T11GA4LandingDaily[language],$C85,T11GA4LandingDaily[date],"&gt;="&amp;$A85,T11GA4LandingDaily[date],"&lt;"&amp;DATE(YEAR($A85),MONTH($A85)+1,1),T11GA4LandingDaily[session_channel],"Organic Search",T11GA4LandingDaily[data_quality],"Measured"))</x:f>
      </x:c>
      <x:c r="P85" s="18" t="str">
        <x:f>IF(OR(I85=0,'25_Config'!$B$11=""),"",IF(COUNTIFS(T11GA4LandingDaily[target_country],$B85,T11GA4LandingDaily[language],$C85,T11GA4LandingDaily[date],"&gt;="&amp;$A85,T11GA4LandingDaily[date],"&lt;"&amp;DATE(YEAR($A85),MONTH($A85)+1,1),T11GA4LandingDaily[session_channel],"Organic Search",T11GA4LandingDaily[data_quality],"Measured",T11GA4LandingDaily[currency],"&lt;&gt;"&amp;'25_Config'!$B$11)&gt;0,"",SUMIFS(T11GA4LandingDaily[purchase_revenue],T11GA4LandingDaily[target_country],$B85,T11GA4LandingDaily[language],$C85,T11GA4LandingDaily[date],"&gt;="&amp;$A85,T11GA4LandingDaily[date],"&lt;"&amp;DATE(YEAR($A85),MONTH($A85)+1,1),T11GA4LandingDaily[session_channel],"Organic Search",T11GA4LandingDaily[data_quality],"Measured")))</x:f>
      </x:c>
      <x:c r="Q85" s="18" t="str">
        <x:f>IF(P85="","",'25_Config'!$B$11)</x:f>
      </x:c>
      <x:c r="R85" s="28"/>
      <x:c r="S85" s="18" t="str">
        <x:f>IF(AND(D85=0,I85=0),"Not refreshed","Check completeness, gaps and sample size")</x:f>
        <x:v>Not refreshed</x:v>
      </x:c>
    </x:row>
    <x:row r="86" ht="30" customHeight="1">
      <x:c r="A86" s="22" t="n">
        <x:v>46266</x:v>
      </x:c>
      <x:c r="B86" s="18" t="str">
        <x:v>Portugal</x:v>
      </x:c>
      <x:c r="C86" s="18" t="str">
        <x:v>es</x:v>
      </x:c>
      <x:c r="D86" s="18" t="n">
        <x:f>COUNTIFS(T09GSCPageDaily[target_country],$B86,T09GSCPageDaily[language],$C86,T09GSCPageDaily[date],"&gt;="&amp;$A86,T09GSCPageDaily[date],"&lt;"&amp;DATE(YEAR($A86),MONTH($A86)+1,1),T09GSCPageDaily[data_state],"final")</x:f>
        <x:v>0</x:v>
      </x:c>
      <x:c r="E86" s="24" t="str">
        <x:f>IF(D86=0,"",SUMIFS(T09GSCPageDaily[clicks],T09GSCPageDaily[target_country],$B86,T09GSCPageDaily[language],$C86,T09GSCPageDaily[date],"&gt;="&amp;$A86,T09GSCPageDaily[date],"&lt;"&amp;DATE(YEAR($A86),MONTH($A86)+1,1),T09GSCPageDaily[data_state],"final"))</x:f>
      </x:c>
      <x:c r="F86" s="24" t="str">
        <x:f>IF(D86=0,"",SUMIFS(T09GSCPageDaily[impressions],T09GSCPageDaily[target_country],$B86,T09GSCPageDaily[language],$C86,T09GSCPageDaily[date],"&gt;="&amp;$A86,T09GSCPageDaily[date],"&lt;"&amp;DATE(YEAR($A86),MONTH($A86)+1,1),T09GSCPageDaily[data_state],"final"))</x:f>
      </x:c>
      <x:c r="G86" s="28" t="str">
        <x:f>IFERROR(IF(D86=0,"",E86/F86),"")</x:f>
      </x:c>
      <x:c r="H86" s="26" t="str">
        <x:f>IF(D86=0,"",IFERROR(SUMPRODUCT((T09GSCPageDaily[target_country]=$B86)*(T09GSCPageDaily[language]=$C86)*(T09GSCPageDaily[date]&gt;=$A86)*(T09GSCPageDaily[date]&lt;DATE(YEAR($A86),MONTH($A86)+1,1))*(T09GSCPageDaily[data_state]="final")*T09GSCPageDaily[avg_position]*T09GSCPageDaily[impressions])/F86,""))</x:f>
      </x:c>
      <x:c r="I86" s="18" t="n">
        <x:f>COUNTIFS(T11GA4LandingDaily[target_country],$B86,T11GA4LandingDaily[language],$C86,T11GA4LandingDaily[date],"&gt;="&amp;$A86,T11GA4LandingDaily[date],"&lt;"&amp;DATE(YEAR($A86),MONTH($A86)+1,1),T11GA4LandingDaily[session_channel],"Organic Search",T11GA4LandingDaily[data_quality],"Measured")</x:f>
        <x:v>0</x:v>
      </x:c>
      <x:c r="J86" s="18" t="str">
        <x:f>IF(I86=0,"",SUMIFS(T11GA4LandingDaily[sessions],T11GA4LandingDaily[target_country],$B86,T11GA4LandingDaily[language],$C86,T11GA4LandingDaily[date],"&gt;="&amp;$A86,T11GA4LandingDaily[date],"&lt;"&amp;DATE(YEAR($A86),MONTH($A86)+1,1),T11GA4LandingDaily[session_channel],"Organic Search",T11GA4LandingDaily[data_quality],"Measured"))</x:f>
      </x:c>
      <x:c r="K86" s="24" t="str">
        <x:f>IF(I86=0,"",SUMIFS(T11GA4LandingDaily[engaged_sessions],T11GA4LandingDaily[target_country],$B86,T11GA4LandingDaily[language],$C86,T11GA4LandingDaily[date],"&gt;="&amp;$A86,T11GA4LandingDaily[date],"&lt;"&amp;DATE(YEAR($A86),MONTH($A86)+1,1),T11GA4LandingDaily[session_channel],"Organic Search",T11GA4LandingDaily[data_quality],"Measured"))</x:f>
      </x:c>
      <x:c r="L86" s="28" t="str">
        <x:f>IFERROR(IF(I86=0,"",K86/J86),"")</x:f>
      </x:c>
      <x:c r="M86" s="24" t="str">
        <x:f>IF(I86=0,"",SUMIFS(T11GA4LandingDaily[key_events],T11GA4LandingDaily[target_country],$B86,T11GA4LandingDaily[language],$C86,T11GA4LandingDaily[date],"&gt;="&amp;$A86,T11GA4LandingDaily[date],"&lt;"&amp;DATE(YEAR($A86),MONTH($A86)+1,1),T11GA4LandingDaily[session_channel],"Organic Search",T11GA4LandingDaily[data_quality],"Measured"))</x:f>
      </x:c>
      <x:c r="N86" s="24" t="str">
        <x:f>IF(I86=0,"",SUMIFS(T11GA4LandingDaily[booking_starts],T11GA4LandingDaily[target_country],$B86,T11GA4LandingDaily[language],$C86,T11GA4LandingDaily[date],"&gt;="&amp;$A86,T11GA4LandingDaily[date],"&lt;"&amp;DATE(YEAR($A86),MONTH($A86)+1,1),T11GA4LandingDaily[session_channel],"Organic Search",T11GA4LandingDaily[data_quality],"Measured"))</x:f>
      </x:c>
      <x:c r="O86" s="24" t="str">
        <x:f>IF(I86=0,"",SUMIFS(T11GA4LandingDaily[purchases],T11GA4LandingDaily[target_country],$B86,T11GA4LandingDaily[language],$C86,T11GA4LandingDaily[date],"&gt;="&amp;$A86,T11GA4LandingDaily[date],"&lt;"&amp;DATE(YEAR($A86),MONTH($A86)+1,1),T11GA4LandingDaily[session_channel],"Organic Search",T11GA4LandingDaily[data_quality],"Measured"))</x:f>
      </x:c>
      <x:c r="P86" s="18" t="str">
        <x:f>IF(OR(I86=0,'25_Config'!$B$11=""),"",IF(COUNTIFS(T11GA4LandingDaily[target_country],$B86,T11GA4LandingDaily[language],$C86,T11GA4LandingDaily[date],"&gt;="&amp;$A86,T11GA4LandingDaily[date],"&lt;"&amp;DATE(YEAR($A86),MONTH($A86)+1,1),T11GA4LandingDaily[session_channel],"Organic Search",T11GA4LandingDaily[data_quality],"Measured",T11GA4LandingDaily[currency],"&lt;&gt;"&amp;'25_Config'!$B$11)&gt;0,"",SUMIFS(T11GA4LandingDaily[purchase_revenue],T11GA4LandingDaily[target_country],$B86,T11GA4LandingDaily[language],$C86,T11GA4LandingDaily[date],"&gt;="&amp;$A86,T11GA4LandingDaily[date],"&lt;"&amp;DATE(YEAR($A86),MONTH($A86)+1,1),T11GA4LandingDaily[session_channel],"Organic Search",T11GA4LandingDaily[data_quality],"Measured")))</x:f>
      </x:c>
      <x:c r="Q86" s="18" t="str">
        <x:f>IF(P86="","",'25_Config'!$B$11)</x:f>
      </x:c>
      <x:c r="R86" s="28"/>
      <x:c r="S86" s="18" t="str">
        <x:f>IF(AND(D86=0,I86=0),"Not refreshed","Check completeness, gaps and sample size")</x:f>
        <x:v>Not refreshed</x:v>
      </x:c>
    </x:row>
    <x:row r="87" ht="30" customHeight="1">
      <x:c r="A87" s="22" t="n">
        <x:v>46266</x:v>
      </x:c>
      <x:c r="B87" s="18" t="str">
        <x:v>Portugal</x:v>
      </x:c>
      <x:c r="C87" s="18" t="str">
        <x:v>cs</x:v>
      </x:c>
      <x:c r="D87" s="18" t="n">
        <x:f>COUNTIFS(T09GSCPageDaily[target_country],$B87,T09GSCPageDaily[language],$C87,T09GSCPageDaily[date],"&gt;="&amp;$A87,T09GSCPageDaily[date],"&lt;"&amp;DATE(YEAR($A87),MONTH($A87)+1,1),T09GSCPageDaily[data_state],"final")</x:f>
        <x:v>0</x:v>
      </x:c>
      <x:c r="E87" s="24" t="str">
        <x:f>IF(D87=0,"",SUMIFS(T09GSCPageDaily[clicks],T09GSCPageDaily[target_country],$B87,T09GSCPageDaily[language],$C87,T09GSCPageDaily[date],"&gt;="&amp;$A87,T09GSCPageDaily[date],"&lt;"&amp;DATE(YEAR($A87),MONTH($A87)+1,1),T09GSCPageDaily[data_state],"final"))</x:f>
      </x:c>
      <x:c r="F87" s="24" t="str">
        <x:f>IF(D87=0,"",SUMIFS(T09GSCPageDaily[impressions],T09GSCPageDaily[target_country],$B87,T09GSCPageDaily[language],$C87,T09GSCPageDaily[date],"&gt;="&amp;$A87,T09GSCPageDaily[date],"&lt;"&amp;DATE(YEAR($A87),MONTH($A87)+1,1),T09GSCPageDaily[data_state],"final"))</x:f>
      </x:c>
      <x:c r="G87" s="28" t="str">
        <x:f>IFERROR(IF(D87=0,"",E87/F87),"")</x:f>
      </x:c>
      <x:c r="H87" s="26" t="str">
        <x:f>IF(D87=0,"",IFERROR(SUMPRODUCT((T09GSCPageDaily[target_country]=$B87)*(T09GSCPageDaily[language]=$C87)*(T09GSCPageDaily[date]&gt;=$A87)*(T09GSCPageDaily[date]&lt;DATE(YEAR($A87),MONTH($A87)+1,1))*(T09GSCPageDaily[data_state]="final")*T09GSCPageDaily[avg_position]*T09GSCPageDaily[impressions])/F87,""))</x:f>
      </x:c>
      <x:c r="I87" s="18" t="n">
        <x:f>COUNTIFS(T11GA4LandingDaily[target_country],$B87,T11GA4LandingDaily[language],$C87,T11GA4LandingDaily[date],"&gt;="&amp;$A87,T11GA4LandingDaily[date],"&lt;"&amp;DATE(YEAR($A87),MONTH($A87)+1,1),T11GA4LandingDaily[session_channel],"Organic Search",T11GA4LandingDaily[data_quality],"Measured")</x:f>
        <x:v>0</x:v>
      </x:c>
      <x:c r="J87" s="18" t="str">
        <x:f>IF(I87=0,"",SUMIFS(T11GA4LandingDaily[sessions],T11GA4LandingDaily[target_country],$B87,T11GA4LandingDaily[language],$C87,T11GA4LandingDaily[date],"&gt;="&amp;$A87,T11GA4LandingDaily[date],"&lt;"&amp;DATE(YEAR($A87),MONTH($A87)+1,1),T11GA4LandingDaily[session_channel],"Organic Search",T11GA4LandingDaily[data_quality],"Measured"))</x:f>
      </x:c>
      <x:c r="K87" s="24" t="str">
        <x:f>IF(I87=0,"",SUMIFS(T11GA4LandingDaily[engaged_sessions],T11GA4LandingDaily[target_country],$B87,T11GA4LandingDaily[language],$C87,T11GA4LandingDaily[date],"&gt;="&amp;$A87,T11GA4LandingDaily[date],"&lt;"&amp;DATE(YEAR($A87),MONTH($A87)+1,1),T11GA4LandingDaily[session_channel],"Organic Search",T11GA4LandingDaily[data_quality],"Measured"))</x:f>
      </x:c>
      <x:c r="L87" s="28" t="str">
        <x:f>IFERROR(IF(I87=0,"",K87/J87),"")</x:f>
      </x:c>
      <x:c r="M87" s="24" t="str">
        <x:f>IF(I87=0,"",SUMIFS(T11GA4LandingDaily[key_events],T11GA4LandingDaily[target_country],$B87,T11GA4LandingDaily[language],$C87,T11GA4LandingDaily[date],"&gt;="&amp;$A87,T11GA4LandingDaily[date],"&lt;"&amp;DATE(YEAR($A87),MONTH($A87)+1,1),T11GA4LandingDaily[session_channel],"Organic Search",T11GA4LandingDaily[data_quality],"Measured"))</x:f>
      </x:c>
      <x:c r="N87" s="24" t="str">
        <x:f>IF(I87=0,"",SUMIFS(T11GA4LandingDaily[booking_starts],T11GA4LandingDaily[target_country],$B87,T11GA4LandingDaily[language],$C87,T11GA4LandingDaily[date],"&gt;="&amp;$A87,T11GA4LandingDaily[date],"&lt;"&amp;DATE(YEAR($A87),MONTH($A87)+1,1),T11GA4LandingDaily[session_channel],"Organic Search",T11GA4LandingDaily[data_quality],"Measured"))</x:f>
      </x:c>
      <x:c r="O87" s="24" t="str">
        <x:f>IF(I87=0,"",SUMIFS(T11GA4LandingDaily[purchases],T11GA4LandingDaily[target_country],$B87,T11GA4LandingDaily[language],$C87,T11GA4LandingDaily[date],"&gt;="&amp;$A87,T11GA4LandingDaily[date],"&lt;"&amp;DATE(YEAR($A87),MONTH($A87)+1,1),T11GA4LandingDaily[session_channel],"Organic Search",T11GA4LandingDaily[data_quality],"Measured"))</x:f>
      </x:c>
      <x:c r="P87" s="18" t="str">
        <x:f>IF(OR(I87=0,'25_Config'!$B$11=""),"",IF(COUNTIFS(T11GA4LandingDaily[target_country],$B87,T11GA4LandingDaily[language],$C87,T11GA4LandingDaily[date],"&gt;="&amp;$A87,T11GA4LandingDaily[date],"&lt;"&amp;DATE(YEAR($A87),MONTH($A87)+1,1),T11GA4LandingDaily[session_channel],"Organic Search",T11GA4LandingDaily[data_quality],"Measured",T11GA4LandingDaily[currency],"&lt;&gt;"&amp;'25_Config'!$B$11)&gt;0,"",SUMIFS(T11GA4LandingDaily[purchase_revenue],T11GA4LandingDaily[target_country],$B87,T11GA4LandingDaily[language],$C87,T11GA4LandingDaily[date],"&gt;="&amp;$A87,T11GA4LandingDaily[date],"&lt;"&amp;DATE(YEAR($A87),MONTH($A87)+1,1),T11GA4LandingDaily[session_channel],"Organic Search",T11GA4LandingDaily[data_quality],"Measured")))</x:f>
      </x:c>
      <x:c r="Q87" s="18" t="str">
        <x:f>IF(P87="","",'25_Config'!$B$11)</x:f>
      </x:c>
      <x:c r="R87" s="28"/>
      <x:c r="S87" s="18" t="str">
        <x:f>IF(AND(D87=0,I87=0),"Not refreshed","Check completeness, gaps and sample size")</x:f>
        <x:v>Not refreshed</x:v>
      </x:c>
    </x:row>
    <x:row r="88" ht="30" customHeight="1">
      <x:c r="A88" s="22" t="n">
        <x:v>46266</x:v>
      </x:c>
      <x:c r="B88" s="18" t="str">
        <x:v>Portugal</x:v>
      </x:c>
      <x:c r="C88" s="18" t="str">
        <x:v>ro</x:v>
      </x:c>
      <x:c r="D88" s="18" t="n">
        <x:f>COUNTIFS(T09GSCPageDaily[target_country],$B88,T09GSCPageDaily[language],$C88,T09GSCPageDaily[date],"&gt;="&amp;$A88,T09GSCPageDaily[date],"&lt;"&amp;DATE(YEAR($A88),MONTH($A88)+1,1),T09GSCPageDaily[data_state],"final")</x:f>
        <x:v>0</x:v>
      </x:c>
      <x:c r="E88" s="24" t="str">
        <x:f>IF(D88=0,"",SUMIFS(T09GSCPageDaily[clicks],T09GSCPageDaily[target_country],$B88,T09GSCPageDaily[language],$C88,T09GSCPageDaily[date],"&gt;="&amp;$A88,T09GSCPageDaily[date],"&lt;"&amp;DATE(YEAR($A88),MONTH($A88)+1,1),T09GSCPageDaily[data_state],"final"))</x:f>
      </x:c>
      <x:c r="F88" s="24" t="str">
        <x:f>IF(D88=0,"",SUMIFS(T09GSCPageDaily[impressions],T09GSCPageDaily[target_country],$B88,T09GSCPageDaily[language],$C88,T09GSCPageDaily[date],"&gt;="&amp;$A88,T09GSCPageDaily[date],"&lt;"&amp;DATE(YEAR($A88),MONTH($A88)+1,1),T09GSCPageDaily[data_state],"final"))</x:f>
      </x:c>
      <x:c r="G88" s="28" t="str">
        <x:f>IFERROR(IF(D88=0,"",E88/F88),"")</x:f>
      </x:c>
      <x:c r="H88" s="26" t="str">
        <x:f>IF(D88=0,"",IFERROR(SUMPRODUCT((T09GSCPageDaily[target_country]=$B88)*(T09GSCPageDaily[language]=$C88)*(T09GSCPageDaily[date]&gt;=$A88)*(T09GSCPageDaily[date]&lt;DATE(YEAR($A88),MONTH($A88)+1,1))*(T09GSCPageDaily[data_state]="final")*T09GSCPageDaily[avg_position]*T09GSCPageDaily[impressions])/F88,""))</x:f>
      </x:c>
      <x:c r="I88" s="18" t="n">
        <x:f>COUNTIFS(T11GA4LandingDaily[target_country],$B88,T11GA4LandingDaily[language],$C88,T11GA4LandingDaily[date],"&gt;="&amp;$A88,T11GA4LandingDaily[date],"&lt;"&amp;DATE(YEAR($A88),MONTH($A88)+1,1),T11GA4LandingDaily[session_channel],"Organic Search",T11GA4LandingDaily[data_quality],"Measured")</x:f>
        <x:v>0</x:v>
      </x:c>
      <x:c r="J88" s="18" t="str">
        <x:f>IF(I88=0,"",SUMIFS(T11GA4LandingDaily[sessions],T11GA4LandingDaily[target_country],$B88,T11GA4LandingDaily[language],$C88,T11GA4LandingDaily[date],"&gt;="&amp;$A88,T11GA4LandingDaily[date],"&lt;"&amp;DATE(YEAR($A88),MONTH($A88)+1,1),T11GA4LandingDaily[session_channel],"Organic Search",T11GA4LandingDaily[data_quality],"Measured"))</x:f>
      </x:c>
      <x:c r="K88" s="24" t="str">
        <x:f>IF(I88=0,"",SUMIFS(T11GA4LandingDaily[engaged_sessions],T11GA4LandingDaily[target_country],$B88,T11GA4LandingDaily[language],$C88,T11GA4LandingDaily[date],"&gt;="&amp;$A88,T11GA4LandingDaily[date],"&lt;"&amp;DATE(YEAR($A88),MONTH($A88)+1,1),T11GA4LandingDaily[session_channel],"Organic Search",T11GA4LandingDaily[data_quality],"Measured"))</x:f>
      </x:c>
      <x:c r="L88" s="28" t="str">
        <x:f>IFERROR(IF(I88=0,"",K88/J88),"")</x:f>
      </x:c>
      <x:c r="M88" s="24" t="str">
        <x:f>IF(I88=0,"",SUMIFS(T11GA4LandingDaily[key_events],T11GA4LandingDaily[target_country],$B88,T11GA4LandingDaily[language],$C88,T11GA4LandingDaily[date],"&gt;="&amp;$A88,T11GA4LandingDaily[date],"&lt;"&amp;DATE(YEAR($A88),MONTH($A88)+1,1),T11GA4LandingDaily[session_channel],"Organic Search",T11GA4LandingDaily[data_quality],"Measured"))</x:f>
      </x:c>
      <x:c r="N88" s="24" t="str">
        <x:f>IF(I88=0,"",SUMIFS(T11GA4LandingDaily[booking_starts],T11GA4LandingDaily[target_country],$B88,T11GA4LandingDaily[language],$C88,T11GA4LandingDaily[date],"&gt;="&amp;$A88,T11GA4LandingDaily[date],"&lt;"&amp;DATE(YEAR($A88),MONTH($A88)+1,1),T11GA4LandingDaily[session_channel],"Organic Search",T11GA4LandingDaily[data_quality],"Measured"))</x:f>
      </x:c>
      <x:c r="O88" s="24" t="str">
        <x:f>IF(I88=0,"",SUMIFS(T11GA4LandingDaily[purchases],T11GA4LandingDaily[target_country],$B88,T11GA4LandingDaily[language],$C88,T11GA4LandingDaily[date],"&gt;="&amp;$A88,T11GA4LandingDaily[date],"&lt;"&amp;DATE(YEAR($A88),MONTH($A88)+1,1),T11GA4LandingDaily[session_channel],"Organic Search",T11GA4LandingDaily[data_quality],"Measured"))</x:f>
      </x:c>
      <x:c r="P88" s="18" t="str">
        <x:f>IF(OR(I88=0,'25_Config'!$B$11=""),"",IF(COUNTIFS(T11GA4LandingDaily[target_country],$B88,T11GA4LandingDaily[language],$C88,T11GA4LandingDaily[date],"&gt;="&amp;$A88,T11GA4LandingDaily[date],"&lt;"&amp;DATE(YEAR($A88),MONTH($A88)+1,1),T11GA4LandingDaily[session_channel],"Organic Search",T11GA4LandingDaily[data_quality],"Measured",T11GA4LandingDaily[currency],"&lt;&gt;"&amp;'25_Config'!$B$11)&gt;0,"",SUMIFS(T11GA4LandingDaily[purchase_revenue],T11GA4LandingDaily[target_country],$B88,T11GA4LandingDaily[language],$C88,T11GA4LandingDaily[date],"&gt;="&amp;$A88,T11GA4LandingDaily[date],"&lt;"&amp;DATE(YEAR($A88),MONTH($A88)+1,1),T11GA4LandingDaily[session_channel],"Organic Search",T11GA4LandingDaily[data_quality],"Measured")))</x:f>
      </x:c>
      <x:c r="Q88" s="18" t="str">
        <x:f>IF(P88="","",'25_Config'!$B$11)</x:f>
      </x:c>
      <x:c r="R88" s="28"/>
      <x:c r="S88" s="18" t="str">
        <x:f>IF(AND(D88=0,I88=0),"Not refreshed","Check completeness, gaps and sample size")</x:f>
        <x:v>Not refreshed</x:v>
      </x:c>
    </x:row>
    <x:row r="89" ht="30" customHeight="1">
      <x:c r="A89" s="22" t="n">
        <x:v>46266</x:v>
      </x:c>
      <x:c r="B89" s="18" t="str">
        <x:v>Portugal</x:v>
      </x:c>
      <x:c r="C89" s="18" t="str">
        <x:v>de</x:v>
      </x:c>
      <x:c r="D89" s="18" t="n">
        <x:f>COUNTIFS(T09GSCPageDaily[target_country],$B89,T09GSCPageDaily[language],$C89,T09GSCPageDaily[date],"&gt;="&amp;$A89,T09GSCPageDaily[date],"&lt;"&amp;DATE(YEAR($A89),MONTH($A89)+1,1),T09GSCPageDaily[data_state],"final")</x:f>
        <x:v>0</x:v>
      </x:c>
      <x:c r="E89" s="24" t="str">
        <x:f>IF(D89=0,"",SUMIFS(T09GSCPageDaily[clicks],T09GSCPageDaily[target_country],$B89,T09GSCPageDaily[language],$C89,T09GSCPageDaily[date],"&gt;="&amp;$A89,T09GSCPageDaily[date],"&lt;"&amp;DATE(YEAR($A89),MONTH($A89)+1,1),T09GSCPageDaily[data_state],"final"))</x:f>
      </x:c>
      <x:c r="F89" s="24" t="str">
        <x:f>IF(D89=0,"",SUMIFS(T09GSCPageDaily[impressions],T09GSCPageDaily[target_country],$B89,T09GSCPageDaily[language],$C89,T09GSCPageDaily[date],"&gt;="&amp;$A89,T09GSCPageDaily[date],"&lt;"&amp;DATE(YEAR($A89),MONTH($A89)+1,1),T09GSCPageDaily[data_state],"final"))</x:f>
      </x:c>
      <x:c r="G89" s="28" t="str">
        <x:f>IFERROR(IF(D89=0,"",E89/F89),"")</x:f>
      </x:c>
      <x:c r="H89" s="26" t="str">
        <x:f>IF(D89=0,"",IFERROR(SUMPRODUCT((T09GSCPageDaily[target_country]=$B89)*(T09GSCPageDaily[language]=$C89)*(T09GSCPageDaily[date]&gt;=$A89)*(T09GSCPageDaily[date]&lt;DATE(YEAR($A89),MONTH($A89)+1,1))*(T09GSCPageDaily[data_state]="final")*T09GSCPageDaily[avg_position]*T09GSCPageDaily[impressions])/F89,""))</x:f>
      </x:c>
      <x:c r="I89" s="18" t="n">
        <x:f>COUNTIFS(T11GA4LandingDaily[target_country],$B89,T11GA4LandingDaily[language],$C89,T11GA4LandingDaily[date],"&gt;="&amp;$A89,T11GA4LandingDaily[date],"&lt;"&amp;DATE(YEAR($A89),MONTH($A89)+1,1),T11GA4LandingDaily[session_channel],"Organic Search",T11GA4LandingDaily[data_quality],"Measured")</x:f>
        <x:v>0</x:v>
      </x:c>
      <x:c r="J89" s="18" t="str">
        <x:f>IF(I89=0,"",SUMIFS(T11GA4LandingDaily[sessions],T11GA4LandingDaily[target_country],$B89,T11GA4LandingDaily[language],$C89,T11GA4LandingDaily[date],"&gt;="&amp;$A89,T11GA4LandingDaily[date],"&lt;"&amp;DATE(YEAR($A89),MONTH($A89)+1,1),T11GA4LandingDaily[session_channel],"Organic Search",T11GA4LandingDaily[data_quality],"Measured"))</x:f>
      </x:c>
      <x:c r="K89" s="24" t="str">
        <x:f>IF(I89=0,"",SUMIFS(T11GA4LandingDaily[engaged_sessions],T11GA4LandingDaily[target_country],$B89,T11GA4LandingDaily[language],$C89,T11GA4LandingDaily[date],"&gt;="&amp;$A89,T11GA4LandingDaily[date],"&lt;"&amp;DATE(YEAR($A89),MONTH($A89)+1,1),T11GA4LandingDaily[session_channel],"Organic Search",T11GA4LandingDaily[data_quality],"Measured"))</x:f>
      </x:c>
      <x:c r="L89" s="28" t="str">
        <x:f>IFERROR(IF(I89=0,"",K89/J89),"")</x:f>
      </x:c>
      <x:c r="M89" s="24" t="str">
        <x:f>IF(I89=0,"",SUMIFS(T11GA4LandingDaily[key_events],T11GA4LandingDaily[target_country],$B89,T11GA4LandingDaily[language],$C89,T11GA4LandingDaily[date],"&gt;="&amp;$A89,T11GA4LandingDaily[date],"&lt;"&amp;DATE(YEAR($A89),MONTH($A89)+1,1),T11GA4LandingDaily[session_channel],"Organic Search",T11GA4LandingDaily[data_quality],"Measured"))</x:f>
      </x:c>
      <x:c r="N89" s="24" t="str">
        <x:f>IF(I89=0,"",SUMIFS(T11GA4LandingDaily[booking_starts],T11GA4LandingDaily[target_country],$B89,T11GA4LandingDaily[language],$C89,T11GA4LandingDaily[date],"&gt;="&amp;$A89,T11GA4LandingDaily[date],"&lt;"&amp;DATE(YEAR($A89),MONTH($A89)+1,1),T11GA4LandingDaily[session_channel],"Organic Search",T11GA4LandingDaily[data_quality],"Measured"))</x:f>
      </x:c>
      <x:c r="O89" s="24" t="str">
        <x:f>IF(I89=0,"",SUMIFS(T11GA4LandingDaily[purchases],T11GA4LandingDaily[target_country],$B89,T11GA4LandingDaily[language],$C89,T11GA4LandingDaily[date],"&gt;="&amp;$A89,T11GA4LandingDaily[date],"&lt;"&amp;DATE(YEAR($A89),MONTH($A89)+1,1),T11GA4LandingDaily[session_channel],"Organic Search",T11GA4LandingDaily[data_quality],"Measured"))</x:f>
      </x:c>
      <x:c r="P89" s="18" t="str">
        <x:f>IF(OR(I89=0,'25_Config'!$B$11=""),"",IF(COUNTIFS(T11GA4LandingDaily[target_country],$B89,T11GA4LandingDaily[language],$C89,T11GA4LandingDaily[date],"&gt;="&amp;$A89,T11GA4LandingDaily[date],"&lt;"&amp;DATE(YEAR($A89),MONTH($A89)+1,1),T11GA4LandingDaily[session_channel],"Organic Search",T11GA4LandingDaily[data_quality],"Measured",T11GA4LandingDaily[currency],"&lt;&gt;"&amp;'25_Config'!$B$11)&gt;0,"",SUMIFS(T11GA4LandingDaily[purchase_revenue],T11GA4LandingDaily[target_country],$B89,T11GA4LandingDaily[language],$C89,T11GA4LandingDaily[date],"&gt;="&amp;$A89,T11GA4LandingDaily[date],"&lt;"&amp;DATE(YEAR($A89),MONTH($A89)+1,1),T11GA4LandingDaily[session_channel],"Organic Search",T11GA4LandingDaily[data_quality],"Measured")))</x:f>
      </x:c>
      <x:c r="Q89" s="18" t="str">
        <x:f>IF(P89="","",'25_Config'!$B$11)</x:f>
      </x:c>
      <x:c r="R89" s="28"/>
      <x:c r="S89" s="18" t="str">
        <x:f>IF(AND(D89=0,I89=0),"Not refreshed","Check completeness, gaps and sample size")</x:f>
        <x:v>Not refreshed</x:v>
      </x:c>
    </x:row>
    <x:row r="90" ht="30" customHeight="1">
      <x:c r="A90" s="22" t="n">
        <x:v>46266</x:v>
      </x:c>
      <x:c r="B90" s="18" t="str">
        <x:v>Spain</x:v>
      </x:c>
      <x:c r="C90" s="18" t="str">
        <x:v>es</x:v>
      </x:c>
      <x:c r="D90" s="18" t="n">
        <x:f>COUNTIFS(T09GSCPageDaily[target_country],$B90,T09GSCPageDaily[language],$C90,T09GSCPageDaily[date],"&gt;="&amp;$A90,T09GSCPageDaily[date],"&lt;"&amp;DATE(YEAR($A90),MONTH($A90)+1,1),T09GSCPageDaily[data_state],"final")</x:f>
        <x:v>0</x:v>
      </x:c>
      <x:c r="E90" s="24" t="str">
        <x:f>IF(D90=0,"",SUMIFS(T09GSCPageDaily[clicks],T09GSCPageDaily[target_country],$B90,T09GSCPageDaily[language],$C90,T09GSCPageDaily[date],"&gt;="&amp;$A90,T09GSCPageDaily[date],"&lt;"&amp;DATE(YEAR($A90),MONTH($A90)+1,1),T09GSCPageDaily[data_state],"final"))</x:f>
      </x:c>
      <x:c r="F90" s="24" t="str">
        <x:f>IF(D90=0,"",SUMIFS(T09GSCPageDaily[impressions],T09GSCPageDaily[target_country],$B90,T09GSCPageDaily[language],$C90,T09GSCPageDaily[date],"&gt;="&amp;$A90,T09GSCPageDaily[date],"&lt;"&amp;DATE(YEAR($A90),MONTH($A90)+1,1),T09GSCPageDaily[data_state],"final"))</x:f>
      </x:c>
      <x:c r="G90" s="28" t="str">
        <x:f>IFERROR(IF(D90=0,"",E90/F90),"")</x:f>
      </x:c>
      <x:c r="H90" s="26" t="str">
        <x:f>IF(D90=0,"",IFERROR(SUMPRODUCT((T09GSCPageDaily[target_country]=$B90)*(T09GSCPageDaily[language]=$C90)*(T09GSCPageDaily[date]&gt;=$A90)*(T09GSCPageDaily[date]&lt;DATE(YEAR($A90),MONTH($A90)+1,1))*(T09GSCPageDaily[data_state]="final")*T09GSCPageDaily[avg_position]*T09GSCPageDaily[impressions])/F90,""))</x:f>
      </x:c>
      <x:c r="I90" s="18" t="n">
        <x:f>COUNTIFS(T11GA4LandingDaily[target_country],$B90,T11GA4LandingDaily[language],$C90,T11GA4LandingDaily[date],"&gt;="&amp;$A90,T11GA4LandingDaily[date],"&lt;"&amp;DATE(YEAR($A90),MONTH($A90)+1,1),T11GA4LandingDaily[session_channel],"Organic Search",T11GA4LandingDaily[data_quality],"Measured")</x:f>
        <x:v>0</x:v>
      </x:c>
      <x:c r="J90" s="18" t="str">
        <x:f>IF(I90=0,"",SUMIFS(T11GA4LandingDaily[sessions],T11GA4LandingDaily[target_country],$B90,T11GA4LandingDaily[language],$C90,T11GA4LandingDaily[date],"&gt;="&amp;$A90,T11GA4LandingDaily[date],"&lt;"&amp;DATE(YEAR($A90),MONTH($A90)+1,1),T11GA4LandingDaily[session_channel],"Organic Search",T11GA4LandingDaily[data_quality],"Measured"))</x:f>
      </x:c>
      <x:c r="K90" s="24" t="str">
        <x:f>IF(I90=0,"",SUMIFS(T11GA4LandingDaily[engaged_sessions],T11GA4LandingDaily[target_country],$B90,T11GA4LandingDaily[language],$C90,T11GA4LandingDaily[date],"&gt;="&amp;$A90,T11GA4LandingDaily[date],"&lt;"&amp;DATE(YEAR($A90),MONTH($A90)+1,1),T11GA4LandingDaily[session_channel],"Organic Search",T11GA4LandingDaily[data_quality],"Measured"))</x:f>
      </x:c>
      <x:c r="L90" s="28" t="str">
        <x:f>IFERROR(IF(I90=0,"",K90/J90),"")</x:f>
      </x:c>
      <x:c r="M90" s="24" t="str">
        <x:f>IF(I90=0,"",SUMIFS(T11GA4LandingDaily[key_events],T11GA4LandingDaily[target_country],$B90,T11GA4LandingDaily[language],$C90,T11GA4LandingDaily[date],"&gt;="&amp;$A90,T11GA4LandingDaily[date],"&lt;"&amp;DATE(YEAR($A90),MONTH($A90)+1,1),T11GA4LandingDaily[session_channel],"Organic Search",T11GA4LandingDaily[data_quality],"Measured"))</x:f>
      </x:c>
      <x:c r="N90" s="24" t="str">
        <x:f>IF(I90=0,"",SUMIFS(T11GA4LandingDaily[booking_starts],T11GA4LandingDaily[target_country],$B90,T11GA4LandingDaily[language],$C90,T11GA4LandingDaily[date],"&gt;="&amp;$A90,T11GA4LandingDaily[date],"&lt;"&amp;DATE(YEAR($A90),MONTH($A90)+1,1),T11GA4LandingDaily[session_channel],"Organic Search",T11GA4LandingDaily[data_quality],"Measured"))</x:f>
      </x:c>
      <x:c r="O90" s="24" t="str">
        <x:f>IF(I90=0,"",SUMIFS(T11GA4LandingDaily[purchases],T11GA4LandingDaily[target_country],$B90,T11GA4LandingDaily[language],$C90,T11GA4LandingDaily[date],"&gt;="&amp;$A90,T11GA4LandingDaily[date],"&lt;"&amp;DATE(YEAR($A90),MONTH($A90)+1,1),T11GA4LandingDaily[session_channel],"Organic Search",T11GA4LandingDaily[data_quality],"Measured"))</x:f>
      </x:c>
      <x:c r="P90" s="18" t="str">
        <x:f>IF(OR(I90=0,'25_Config'!$B$11=""),"",IF(COUNTIFS(T11GA4LandingDaily[target_country],$B90,T11GA4LandingDaily[language],$C90,T11GA4LandingDaily[date],"&gt;="&amp;$A90,T11GA4LandingDaily[date],"&lt;"&amp;DATE(YEAR($A90),MONTH($A90)+1,1),T11GA4LandingDaily[session_channel],"Organic Search",T11GA4LandingDaily[data_quality],"Measured",T11GA4LandingDaily[currency],"&lt;&gt;"&amp;'25_Config'!$B$11)&gt;0,"",SUMIFS(T11GA4LandingDaily[purchase_revenue],T11GA4LandingDaily[target_country],$B90,T11GA4LandingDaily[language],$C90,T11GA4LandingDaily[date],"&gt;="&amp;$A90,T11GA4LandingDaily[date],"&lt;"&amp;DATE(YEAR($A90),MONTH($A90)+1,1),T11GA4LandingDaily[session_channel],"Organic Search",T11GA4LandingDaily[data_quality],"Measured")))</x:f>
      </x:c>
      <x:c r="Q90" s="18" t="str">
        <x:f>IF(P90="","",'25_Config'!$B$11)</x:f>
      </x:c>
      <x:c r="R90" s="28"/>
      <x:c r="S90" s="18" t="str">
        <x:f>IF(AND(D90=0,I90=0),"Not refreshed","Check completeness, gaps and sample size")</x:f>
        <x:v>Not refreshed</x:v>
      </x:c>
    </x:row>
    <x:row r="91" ht="30" customHeight="1">
      <x:c r="A91" s="22" t="n">
        <x:v>46266</x:v>
      </x:c>
      <x:c r="B91" s="18" t="str">
        <x:v>Spain</x:v>
      </x:c>
      <x:c r="C91" s="18" t="str">
        <x:v>en</x:v>
      </x:c>
      <x:c r="D91" s="18" t="n">
        <x:f>COUNTIFS(T09GSCPageDaily[target_country],$B91,T09GSCPageDaily[language],$C91,T09GSCPageDaily[date],"&gt;="&amp;$A91,T09GSCPageDaily[date],"&lt;"&amp;DATE(YEAR($A91),MONTH($A91)+1,1),T09GSCPageDaily[data_state],"final")</x:f>
        <x:v>0</x:v>
      </x:c>
      <x:c r="E91" s="24" t="str">
        <x:f>IF(D91=0,"",SUMIFS(T09GSCPageDaily[clicks],T09GSCPageDaily[target_country],$B91,T09GSCPageDaily[language],$C91,T09GSCPageDaily[date],"&gt;="&amp;$A91,T09GSCPageDaily[date],"&lt;"&amp;DATE(YEAR($A91),MONTH($A91)+1,1),T09GSCPageDaily[data_state],"final"))</x:f>
      </x:c>
      <x:c r="F91" s="24" t="str">
        <x:f>IF(D91=0,"",SUMIFS(T09GSCPageDaily[impressions],T09GSCPageDaily[target_country],$B91,T09GSCPageDaily[language],$C91,T09GSCPageDaily[date],"&gt;="&amp;$A91,T09GSCPageDaily[date],"&lt;"&amp;DATE(YEAR($A91),MONTH($A91)+1,1),T09GSCPageDaily[data_state],"final"))</x:f>
      </x:c>
      <x:c r="G91" s="28" t="str">
        <x:f>IFERROR(IF(D91=0,"",E91/F91),"")</x:f>
      </x:c>
      <x:c r="H91" s="26" t="str">
        <x:f>IF(D91=0,"",IFERROR(SUMPRODUCT((T09GSCPageDaily[target_country]=$B91)*(T09GSCPageDaily[language]=$C91)*(T09GSCPageDaily[date]&gt;=$A91)*(T09GSCPageDaily[date]&lt;DATE(YEAR($A91),MONTH($A91)+1,1))*(T09GSCPageDaily[data_state]="final")*T09GSCPageDaily[avg_position]*T09GSCPageDaily[impressions])/F91,""))</x:f>
      </x:c>
      <x:c r="I91" s="18" t="n">
        <x:f>COUNTIFS(T11GA4LandingDaily[target_country],$B91,T11GA4LandingDaily[language],$C91,T11GA4LandingDaily[date],"&gt;="&amp;$A91,T11GA4LandingDaily[date],"&lt;"&amp;DATE(YEAR($A91),MONTH($A91)+1,1),T11GA4LandingDaily[session_channel],"Organic Search",T11GA4LandingDaily[data_quality],"Measured")</x:f>
        <x:v>0</x:v>
      </x:c>
      <x:c r="J91" s="18" t="str">
        <x:f>IF(I91=0,"",SUMIFS(T11GA4LandingDaily[sessions],T11GA4LandingDaily[target_country],$B91,T11GA4LandingDaily[language],$C91,T11GA4LandingDaily[date],"&gt;="&amp;$A91,T11GA4LandingDaily[date],"&lt;"&amp;DATE(YEAR($A91),MONTH($A91)+1,1),T11GA4LandingDaily[session_channel],"Organic Search",T11GA4LandingDaily[data_quality],"Measured"))</x:f>
      </x:c>
      <x:c r="K91" s="24" t="str">
        <x:f>IF(I91=0,"",SUMIFS(T11GA4LandingDaily[engaged_sessions],T11GA4LandingDaily[target_country],$B91,T11GA4LandingDaily[language],$C91,T11GA4LandingDaily[date],"&gt;="&amp;$A91,T11GA4LandingDaily[date],"&lt;"&amp;DATE(YEAR($A91),MONTH($A91)+1,1),T11GA4LandingDaily[session_channel],"Organic Search",T11GA4LandingDaily[data_quality],"Measured"))</x:f>
      </x:c>
      <x:c r="L91" s="28" t="str">
        <x:f>IFERROR(IF(I91=0,"",K91/J91),"")</x:f>
      </x:c>
      <x:c r="M91" s="24" t="str">
        <x:f>IF(I91=0,"",SUMIFS(T11GA4LandingDaily[key_events],T11GA4LandingDaily[target_country],$B91,T11GA4LandingDaily[language],$C91,T11GA4LandingDaily[date],"&gt;="&amp;$A91,T11GA4LandingDaily[date],"&lt;"&amp;DATE(YEAR($A91),MONTH($A91)+1,1),T11GA4LandingDaily[session_channel],"Organic Search",T11GA4LandingDaily[data_quality],"Measured"))</x:f>
      </x:c>
      <x:c r="N91" s="24" t="str">
        <x:f>IF(I91=0,"",SUMIFS(T11GA4LandingDaily[booking_starts],T11GA4LandingDaily[target_country],$B91,T11GA4LandingDaily[language],$C91,T11GA4LandingDaily[date],"&gt;="&amp;$A91,T11GA4LandingDaily[date],"&lt;"&amp;DATE(YEAR($A91),MONTH($A91)+1,1),T11GA4LandingDaily[session_channel],"Organic Search",T11GA4LandingDaily[data_quality],"Measured"))</x:f>
      </x:c>
      <x:c r="O91" s="24" t="str">
        <x:f>IF(I91=0,"",SUMIFS(T11GA4LandingDaily[purchases],T11GA4LandingDaily[target_country],$B91,T11GA4LandingDaily[language],$C91,T11GA4LandingDaily[date],"&gt;="&amp;$A91,T11GA4LandingDaily[date],"&lt;"&amp;DATE(YEAR($A91),MONTH($A91)+1,1),T11GA4LandingDaily[session_channel],"Organic Search",T11GA4LandingDaily[data_quality],"Measured"))</x:f>
      </x:c>
      <x:c r="P91" s="18" t="str">
        <x:f>IF(OR(I91=0,'25_Config'!$B$11=""),"",IF(COUNTIFS(T11GA4LandingDaily[target_country],$B91,T11GA4LandingDaily[language],$C91,T11GA4LandingDaily[date],"&gt;="&amp;$A91,T11GA4LandingDaily[date],"&lt;"&amp;DATE(YEAR($A91),MONTH($A91)+1,1),T11GA4LandingDaily[session_channel],"Organic Search",T11GA4LandingDaily[data_quality],"Measured",T11GA4LandingDaily[currency],"&lt;&gt;"&amp;'25_Config'!$B$11)&gt;0,"",SUMIFS(T11GA4LandingDaily[purchase_revenue],T11GA4LandingDaily[target_country],$B91,T11GA4LandingDaily[language],$C91,T11GA4LandingDaily[date],"&gt;="&amp;$A91,T11GA4LandingDaily[date],"&lt;"&amp;DATE(YEAR($A91),MONTH($A91)+1,1),T11GA4LandingDaily[session_channel],"Organic Search",T11GA4LandingDaily[data_quality],"Measured")))</x:f>
      </x:c>
      <x:c r="Q91" s="18" t="str">
        <x:f>IF(P91="","",'25_Config'!$B$11)</x:f>
      </x:c>
      <x:c r="R91" s="28"/>
      <x:c r="S91" s="18" t="str">
        <x:f>IF(AND(D91=0,I91=0),"Not refreshed","Check completeness, gaps and sample size")</x:f>
        <x:v>Not refreshed</x:v>
      </x:c>
    </x:row>
    <x:row r="92" ht="30" customHeight="1">
      <x:c r="A92" s="22" t="n">
        <x:v>46266</x:v>
      </x:c>
      <x:c r="B92" s="18" t="str">
        <x:v>Spain</x:v>
      </x:c>
      <x:c r="C92" s="18" t="str">
        <x:v>pt</x:v>
      </x:c>
      <x:c r="D92" s="18" t="n">
        <x:f>COUNTIFS(T09GSCPageDaily[target_country],$B92,T09GSCPageDaily[language],$C92,T09GSCPageDaily[date],"&gt;="&amp;$A92,T09GSCPageDaily[date],"&lt;"&amp;DATE(YEAR($A92),MONTH($A92)+1,1),T09GSCPageDaily[data_state],"final")</x:f>
        <x:v>0</x:v>
      </x:c>
      <x:c r="E92" s="24" t="str">
        <x:f>IF(D92=0,"",SUMIFS(T09GSCPageDaily[clicks],T09GSCPageDaily[target_country],$B92,T09GSCPageDaily[language],$C92,T09GSCPageDaily[date],"&gt;="&amp;$A92,T09GSCPageDaily[date],"&lt;"&amp;DATE(YEAR($A92),MONTH($A92)+1,1),T09GSCPageDaily[data_state],"final"))</x:f>
      </x:c>
      <x:c r="F92" s="24" t="str">
        <x:f>IF(D92=0,"",SUMIFS(T09GSCPageDaily[impressions],T09GSCPageDaily[target_country],$B92,T09GSCPageDaily[language],$C92,T09GSCPageDaily[date],"&gt;="&amp;$A92,T09GSCPageDaily[date],"&lt;"&amp;DATE(YEAR($A92),MONTH($A92)+1,1),T09GSCPageDaily[data_state],"final"))</x:f>
      </x:c>
      <x:c r="G92" s="28" t="str">
        <x:f>IFERROR(IF(D92=0,"",E92/F92),"")</x:f>
      </x:c>
      <x:c r="H92" s="26" t="str">
        <x:f>IF(D92=0,"",IFERROR(SUMPRODUCT((T09GSCPageDaily[target_country]=$B92)*(T09GSCPageDaily[language]=$C92)*(T09GSCPageDaily[date]&gt;=$A92)*(T09GSCPageDaily[date]&lt;DATE(YEAR($A92),MONTH($A92)+1,1))*(T09GSCPageDaily[data_state]="final")*T09GSCPageDaily[avg_position]*T09GSCPageDaily[impressions])/F92,""))</x:f>
      </x:c>
      <x:c r="I92" s="18" t="n">
        <x:f>COUNTIFS(T11GA4LandingDaily[target_country],$B92,T11GA4LandingDaily[language],$C92,T11GA4LandingDaily[date],"&gt;="&amp;$A92,T11GA4LandingDaily[date],"&lt;"&amp;DATE(YEAR($A92),MONTH($A92)+1,1),T11GA4LandingDaily[session_channel],"Organic Search",T11GA4LandingDaily[data_quality],"Measured")</x:f>
        <x:v>0</x:v>
      </x:c>
      <x:c r="J92" s="18" t="str">
        <x:f>IF(I92=0,"",SUMIFS(T11GA4LandingDaily[sessions],T11GA4LandingDaily[target_country],$B92,T11GA4LandingDaily[language],$C92,T11GA4LandingDaily[date],"&gt;="&amp;$A92,T11GA4LandingDaily[date],"&lt;"&amp;DATE(YEAR($A92),MONTH($A92)+1,1),T11GA4LandingDaily[session_channel],"Organic Search",T11GA4LandingDaily[data_quality],"Measured"))</x:f>
      </x:c>
      <x:c r="K92" s="24" t="str">
        <x:f>IF(I92=0,"",SUMIFS(T11GA4LandingDaily[engaged_sessions],T11GA4LandingDaily[target_country],$B92,T11GA4LandingDaily[language],$C92,T11GA4LandingDaily[date],"&gt;="&amp;$A92,T11GA4LandingDaily[date],"&lt;"&amp;DATE(YEAR($A92),MONTH($A92)+1,1),T11GA4LandingDaily[session_channel],"Organic Search",T11GA4LandingDaily[data_quality],"Measured"))</x:f>
      </x:c>
      <x:c r="L92" s="28" t="str">
        <x:f>IFERROR(IF(I92=0,"",K92/J92),"")</x:f>
      </x:c>
      <x:c r="M92" s="24" t="str">
        <x:f>IF(I92=0,"",SUMIFS(T11GA4LandingDaily[key_events],T11GA4LandingDaily[target_country],$B92,T11GA4LandingDaily[language],$C92,T11GA4LandingDaily[date],"&gt;="&amp;$A92,T11GA4LandingDaily[date],"&lt;"&amp;DATE(YEAR($A92),MONTH($A92)+1,1),T11GA4LandingDaily[session_channel],"Organic Search",T11GA4LandingDaily[data_quality],"Measured"))</x:f>
      </x:c>
      <x:c r="N92" s="24" t="str">
        <x:f>IF(I92=0,"",SUMIFS(T11GA4LandingDaily[booking_starts],T11GA4LandingDaily[target_country],$B92,T11GA4LandingDaily[language],$C92,T11GA4LandingDaily[date],"&gt;="&amp;$A92,T11GA4LandingDaily[date],"&lt;"&amp;DATE(YEAR($A92),MONTH($A92)+1,1),T11GA4LandingDaily[session_channel],"Organic Search",T11GA4LandingDaily[data_quality],"Measured"))</x:f>
      </x:c>
      <x:c r="O92" s="24" t="str">
        <x:f>IF(I92=0,"",SUMIFS(T11GA4LandingDaily[purchases],T11GA4LandingDaily[target_country],$B92,T11GA4LandingDaily[language],$C92,T11GA4LandingDaily[date],"&gt;="&amp;$A92,T11GA4LandingDaily[date],"&lt;"&amp;DATE(YEAR($A92),MONTH($A92)+1,1),T11GA4LandingDaily[session_channel],"Organic Search",T11GA4LandingDaily[data_quality],"Measured"))</x:f>
      </x:c>
      <x:c r="P92" s="18" t="str">
        <x:f>IF(OR(I92=0,'25_Config'!$B$11=""),"",IF(COUNTIFS(T11GA4LandingDaily[target_country],$B92,T11GA4LandingDaily[language],$C92,T11GA4LandingDaily[date],"&gt;="&amp;$A92,T11GA4LandingDaily[date],"&lt;"&amp;DATE(YEAR($A92),MONTH($A92)+1,1),T11GA4LandingDaily[session_channel],"Organic Search",T11GA4LandingDaily[data_quality],"Measured",T11GA4LandingDaily[currency],"&lt;&gt;"&amp;'25_Config'!$B$11)&gt;0,"",SUMIFS(T11GA4LandingDaily[purchase_revenue],T11GA4LandingDaily[target_country],$B92,T11GA4LandingDaily[language],$C92,T11GA4LandingDaily[date],"&gt;="&amp;$A92,T11GA4LandingDaily[date],"&lt;"&amp;DATE(YEAR($A92),MONTH($A92)+1,1),T11GA4LandingDaily[session_channel],"Organic Search",T11GA4LandingDaily[data_quality],"Measured")))</x:f>
      </x:c>
      <x:c r="Q92" s="18" t="str">
        <x:f>IF(P92="","",'25_Config'!$B$11)</x:f>
      </x:c>
      <x:c r="R92" s="28"/>
      <x:c r="S92" s="18" t="str">
        <x:f>IF(AND(D92=0,I92=0),"Not refreshed","Check completeness, gaps and sample size")</x:f>
        <x:v>Not refreshed</x:v>
      </x:c>
    </x:row>
    <x:row r="93" ht="30" customHeight="1">
      <x:c r="A93" s="22" t="n">
        <x:v>46266</x:v>
      </x:c>
      <x:c r="B93" s="18" t="str">
        <x:v>Spain</x:v>
      </x:c>
      <x:c r="C93" s="18" t="str">
        <x:v>cs</x:v>
      </x:c>
      <x:c r="D93" s="18" t="n">
        <x:f>COUNTIFS(T09GSCPageDaily[target_country],$B93,T09GSCPageDaily[language],$C93,T09GSCPageDaily[date],"&gt;="&amp;$A93,T09GSCPageDaily[date],"&lt;"&amp;DATE(YEAR($A93),MONTH($A93)+1,1),T09GSCPageDaily[data_state],"final")</x:f>
        <x:v>0</x:v>
      </x:c>
      <x:c r="E93" s="24" t="str">
        <x:f>IF(D93=0,"",SUMIFS(T09GSCPageDaily[clicks],T09GSCPageDaily[target_country],$B93,T09GSCPageDaily[language],$C93,T09GSCPageDaily[date],"&gt;="&amp;$A93,T09GSCPageDaily[date],"&lt;"&amp;DATE(YEAR($A93),MONTH($A93)+1,1),T09GSCPageDaily[data_state],"final"))</x:f>
      </x:c>
      <x:c r="F93" s="24" t="str">
        <x:f>IF(D93=0,"",SUMIFS(T09GSCPageDaily[impressions],T09GSCPageDaily[target_country],$B93,T09GSCPageDaily[language],$C93,T09GSCPageDaily[date],"&gt;="&amp;$A93,T09GSCPageDaily[date],"&lt;"&amp;DATE(YEAR($A93),MONTH($A93)+1,1),T09GSCPageDaily[data_state],"final"))</x:f>
      </x:c>
      <x:c r="G93" s="28" t="str">
        <x:f>IFERROR(IF(D93=0,"",E93/F93),"")</x:f>
      </x:c>
      <x:c r="H93" s="26" t="str">
        <x:f>IF(D93=0,"",IFERROR(SUMPRODUCT((T09GSCPageDaily[target_country]=$B93)*(T09GSCPageDaily[language]=$C93)*(T09GSCPageDaily[date]&gt;=$A93)*(T09GSCPageDaily[date]&lt;DATE(YEAR($A93),MONTH($A93)+1,1))*(T09GSCPageDaily[data_state]="final")*T09GSCPageDaily[avg_position]*T09GSCPageDaily[impressions])/F93,""))</x:f>
      </x:c>
      <x:c r="I93" s="18" t="n">
        <x:f>COUNTIFS(T11GA4LandingDaily[target_country],$B93,T11GA4LandingDaily[language],$C93,T11GA4LandingDaily[date],"&gt;="&amp;$A93,T11GA4LandingDaily[date],"&lt;"&amp;DATE(YEAR($A93),MONTH($A93)+1,1),T11GA4LandingDaily[session_channel],"Organic Search",T11GA4LandingDaily[data_quality],"Measured")</x:f>
        <x:v>0</x:v>
      </x:c>
      <x:c r="J93" s="18" t="str">
        <x:f>IF(I93=0,"",SUMIFS(T11GA4LandingDaily[sessions],T11GA4LandingDaily[target_country],$B93,T11GA4LandingDaily[language],$C93,T11GA4LandingDaily[date],"&gt;="&amp;$A93,T11GA4LandingDaily[date],"&lt;"&amp;DATE(YEAR($A93),MONTH($A93)+1,1),T11GA4LandingDaily[session_channel],"Organic Search",T11GA4LandingDaily[data_quality],"Measured"))</x:f>
      </x:c>
      <x:c r="K93" s="24" t="str">
        <x:f>IF(I93=0,"",SUMIFS(T11GA4LandingDaily[engaged_sessions],T11GA4LandingDaily[target_country],$B93,T11GA4LandingDaily[language],$C93,T11GA4LandingDaily[date],"&gt;="&amp;$A93,T11GA4LandingDaily[date],"&lt;"&amp;DATE(YEAR($A93),MONTH($A93)+1,1),T11GA4LandingDaily[session_channel],"Organic Search",T11GA4LandingDaily[data_quality],"Measured"))</x:f>
      </x:c>
      <x:c r="L93" s="28" t="str">
        <x:f>IFERROR(IF(I93=0,"",K93/J93),"")</x:f>
      </x:c>
      <x:c r="M93" s="24" t="str">
        <x:f>IF(I93=0,"",SUMIFS(T11GA4LandingDaily[key_events],T11GA4LandingDaily[target_country],$B93,T11GA4LandingDaily[language],$C93,T11GA4LandingDaily[date],"&gt;="&amp;$A93,T11GA4LandingDaily[date],"&lt;"&amp;DATE(YEAR($A93),MONTH($A93)+1,1),T11GA4LandingDaily[session_channel],"Organic Search",T11GA4LandingDaily[data_quality],"Measured"))</x:f>
      </x:c>
      <x:c r="N93" s="24" t="str">
        <x:f>IF(I93=0,"",SUMIFS(T11GA4LandingDaily[booking_starts],T11GA4LandingDaily[target_country],$B93,T11GA4LandingDaily[language],$C93,T11GA4LandingDaily[date],"&gt;="&amp;$A93,T11GA4LandingDaily[date],"&lt;"&amp;DATE(YEAR($A93),MONTH($A93)+1,1),T11GA4LandingDaily[session_channel],"Organic Search",T11GA4LandingDaily[data_quality],"Measured"))</x:f>
      </x:c>
      <x:c r="O93" s="24" t="str">
        <x:f>IF(I93=0,"",SUMIFS(T11GA4LandingDaily[purchases],T11GA4LandingDaily[target_country],$B93,T11GA4LandingDaily[language],$C93,T11GA4LandingDaily[date],"&gt;="&amp;$A93,T11GA4LandingDaily[date],"&lt;"&amp;DATE(YEAR($A93),MONTH($A93)+1,1),T11GA4LandingDaily[session_channel],"Organic Search",T11GA4LandingDaily[data_quality],"Measured"))</x:f>
      </x:c>
      <x:c r="P93" s="18" t="str">
        <x:f>IF(OR(I93=0,'25_Config'!$B$11=""),"",IF(COUNTIFS(T11GA4LandingDaily[target_country],$B93,T11GA4LandingDaily[language],$C93,T11GA4LandingDaily[date],"&gt;="&amp;$A93,T11GA4LandingDaily[date],"&lt;"&amp;DATE(YEAR($A93),MONTH($A93)+1,1),T11GA4LandingDaily[session_channel],"Organic Search",T11GA4LandingDaily[data_quality],"Measured",T11GA4LandingDaily[currency],"&lt;&gt;"&amp;'25_Config'!$B$11)&gt;0,"",SUMIFS(T11GA4LandingDaily[purchase_revenue],T11GA4LandingDaily[target_country],$B93,T11GA4LandingDaily[language],$C93,T11GA4LandingDaily[date],"&gt;="&amp;$A93,T11GA4LandingDaily[date],"&lt;"&amp;DATE(YEAR($A93),MONTH($A93)+1,1),T11GA4LandingDaily[session_channel],"Organic Search",T11GA4LandingDaily[data_quality],"Measured")))</x:f>
      </x:c>
      <x:c r="Q93" s="18" t="str">
        <x:f>IF(P93="","",'25_Config'!$B$11)</x:f>
      </x:c>
      <x:c r="R93" s="28"/>
      <x:c r="S93" s="18" t="str">
        <x:f>IF(AND(D93=0,I93=0),"Not refreshed","Check completeness, gaps and sample size")</x:f>
        <x:v>Not refreshed</x:v>
      </x:c>
    </x:row>
    <x:row r="94" ht="30" customHeight="1">
      <x:c r="A94" s="22" t="n">
        <x:v>46266</x:v>
      </x:c>
      <x:c r="B94" s="18" t="str">
        <x:v>Spain</x:v>
      </x:c>
      <x:c r="C94" s="18" t="str">
        <x:v>ro</x:v>
      </x:c>
      <x:c r="D94" s="18" t="n">
        <x:f>COUNTIFS(T09GSCPageDaily[target_country],$B94,T09GSCPageDaily[language],$C94,T09GSCPageDaily[date],"&gt;="&amp;$A94,T09GSCPageDaily[date],"&lt;"&amp;DATE(YEAR($A94),MONTH($A94)+1,1),T09GSCPageDaily[data_state],"final")</x:f>
        <x:v>0</x:v>
      </x:c>
      <x:c r="E94" s="24" t="str">
        <x:f>IF(D94=0,"",SUMIFS(T09GSCPageDaily[clicks],T09GSCPageDaily[target_country],$B94,T09GSCPageDaily[language],$C94,T09GSCPageDaily[date],"&gt;="&amp;$A94,T09GSCPageDaily[date],"&lt;"&amp;DATE(YEAR($A94),MONTH($A94)+1,1),T09GSCPageDaily[data_state],"final"))</x:f>
      </x:c>
      <x:c r="F94" s="24" t="str">
        <x:f>IF(D94=0,"",SUMIFS(T09GSCPageDaily[impressions],T09GSCPageDaily[target_country],$B94,T09GSCPageDaily[language],$C94,T09GSCPageDaily[date],"&gt;="&amp;$A94,T09GSCPageDaily[date],"&lt;"&amp;DATE(YEAR($A94),MONTH($A94)+1,1),T09GSCPageDaily[data_state],"final"))</x:f>
      </x:c>
      <x:c r="G94" s="28" t="str">
        <x:f>IFERROR(IF(D94=0,"",E94/F94),"")</x:f>
      </x:c>
      <x:c r="H94" s="26" t="str">
        <x:f>IF(D94=0,"",IFERROR(SUMPRODUCT((T09GSCPageDaily[target_country]=$B94)*(T09GSCPageDaily[language]=$C94)*(T09GSCPageDaily[date]&gt;=$A94)*(T09GSCPageDaily[date]&lt;DATE(YEAR($A94),MONTH($A94)+1,1))*(T09GSCPageDaily[data_state]="final")*T09GSCPageDaily[avg_position]*T09GSCPageDaily[impressions])/F94,""))</x:f>
      </x:c>
      <x:c r="I94" s="18" t="n">
        <x:f>COUNTIFS(T11GA4LandingDaily[target_country],$B94,T11GA4LandingDaily[language],$C94,T11GA4LandingDaily[date],"&gt;="&amp;$A94,T11GA4LandingDaily[date],"&lt;"&amp;DATE(YEAR($A94),MONTH($A94)+1,1),T11GA4LandingDaily[session_channel],"Organic Search",T11GA4LandingDaily[data_quality],"Measured")</x:f>
        <x:v>0</x:v>
      </x:c>
      <x:c r="J94" s="18" t="str">
        <x:f>IF(I94=0,"",SUMIFS(T11GA4LandingDaily[sessions],T11GA4LandingDaily[target_country],$B94,T11GA4LandingDaily[language],$C94,T11GA4LandingDaily[date],"&gt;="&amp;$A94,T11GA4LandingDaily[date],"&lt;"&amp;DATE(YEAR($A94),MONTH($A94)+1,1),T11GA4LandingDaily[session_channel],"Organic Search",T11GA4LandingDaily[data_quality],"Measured"))</x:f>
      </x:c>
      <x:c r="K94" s="24" t="str">
        <x:f>IF(I94=0,"",SUMIFS(T11GA4LandingDaily[engaged_sessions],T11GA4LandingDaily[target_country],$B94,T11GA4LandingDaily[language],$C94,T11GA4LandingDaily[date],"&gt;="&amp;$A94,T11GA4LandingDaily[date],"&lt;"&amp;DATE(YEAR($A94),MONTH($A94)+1,1),T11GA4LandingDaily[session_channel],"Organic Search",T11GA4LandingDaily[data_quality],"Measured"))</x:f>
      </x:c>
      <x:c r="L94" s="28" t="str">
        <x:f>IFERROR(IF(I94=0,"",K94/J94),"")</x:f>
      </x:c>
      <x:c r="M94" s="24" t="str">
        <x:f>IF(I94=0,"",SUMIFS(T11GA4LandingDaily[key_events],T11GA4LandingDaily[target_country],$B94,T11GA4LandingDaily[language],$C94,T11GA4LandingDaily[date],"&gt;="&amp;$A94,T11GA4LandingDaily[date],"&lt;"&amp;DATE(YEAR($A94),MONTH($A94)+1,1),T11GA4LandingDaily[session_channel],"Organic Search",T11GA4LandingDaily[data_quality],"Measured"))</x:f>
      </x:c>
      <x:c r="N94" s="24" t="str">
        <x:f>IF(I94=0,"",SUMIFS(T11GA4LandingDaily[booking_starts],T11GA4LandingDaily[target_country],$B94,T11GA4LandingDaily[language],$C94,T11GA4LandingDaily[date],"&gt;="&amp;$A94,T11GA4LandingDaily[date],"&lt;"&amp;DATE(YEAR($A94),MONTH($A94)+1,1),T11GA4LandingDaily[session_channel],"Organic Search",T11GA4LandingDaily[data_quality],"Measured"))</x:f>
      </x:c>
      <x:c r="O94" s="24" t="str">
        <x:f>IF(I94=0,"",SUMIFS(T11GA4LandingDaily[purchases],T11GA4LandingDaily[target_country],$B94,T11GA4LandingDaily[language],$C94,T11GA4LandingDaily[date],"&gt;="&amp;$A94,T11GA4LandingDaily[date],"&lt;"&amp;DATE(YEAR($A94),MONTH($A94)+1,1),T11GA4LandingDaily[session_channel],"Organic Search",T11GA4LandingDaily[data_quality],"Measured"))</x:f>
      </x:c>
      <x:c r="P94" s="18" t="str">
        <x:f>IF(OR(I94=0,'25_Config'!$B$11=""),"",IF(COUNTIFS(T11GA4LandingDaily[target_country],$B94,T11GA4LandingDaily[language],$C94,T11GA4LandingDaily[date],"&gt;="&amp;$A94,T11GA4LandingDaily[date],"&lt;"&amp;DATE(YEAR($A94),MONTH($A94)+1,1),T11GA4LandingDaily[session_channel],"Organic Search",T11GA4LandingDaily[data_quality],"Measured",T11GA4LandingDaily[currency],"&lt;&gt;"&amp;'25_Config'!$B$11)&gt;0,"",SUMIFS(T11GA4LandingDaily[purchase_revenue],T11GA4LandingDaily[target_country],$B94,T11GA4LandingDaily[language],$C94,T11GA4LandingDaily[date],"&gt;="&amp;$A94,T11GA4LandingDaily[date],"&lt;"&amp;DATE(YEAR($A94),MONTH($A94)+1,1),T11GA4LandingDaily[session_channel],"Organic Search",T11GA4LandingDaily[data_quality],"Measured")))</x:f>
      </x:c>
      <x:c r="Q94" s="18" t="str">
        <x:f>IF(P94="","",'25_Config'!$B$11)</x:f>
      </x:c>
      <x:c r="R94" s="28"/>
      <x:c r="S94" s="18" t="str">
        <x:f>IF(AND(D94=0,I94=0),"Not refreshed","Check completeness, gaps and sample size")</x:f>
        <x:v>Not refreshed</x:v>
      </x:c>
    </x:row>
    <x:row r="95" ht="30" customHeight="1">
      <x:c r="A95" s="22" t="n">
        <x:v>46266</x:v>
      </x:c>
      <x:c r="B95" s="18" t="str">
        <x:v>Spain</x:v>
      </x:c>
      <x:c r="C95" s="18" t="str">
        <x:v>de</x:v>
      </x:c>
      <x:c r="D95" s="18" t="n">
        <x:f>COUNTIFS(T09GSCPageDaily[target_country],$B95,T09GSCPageDaily[language],$C95,T09GSCPageDaily[date],"&gt;="&amp;$A95,T09GSCPageDaily[date],"&lt;"&amp;DATE(YEAR($A95),MONTH($A95)+1,1),T09GSCPageDaily[data_state],"final")</x:f>
        <x:v>0</x:v>
      </x:c>
      <x:c r="E95" s="24" t="str">
        <x:f>IF(D95=0,"",SUMIFS(T09GSCPageDaily[clicks],T09GSCPageDaily[target_country],$B95,T09GSCPageDaily[language],$C95,T09GSCPageDaily[date],"&gt;="&amp;$A95,T09GSCPageDaily[date],"&lt;"&amp;DATE(YEAR($A95),MONTH($A95)+1,1),T09GSCPageDaily[data_state],"final"))</x:f>
      </x:c>
      <x:c r="F95" s="24" t="str">
        <x:f>IF(D95=0,"",SUMIFS(T09GSCPageDaily[impressions],T09GSCPageDaily[target_country],$B95,T09GSCPageDaily[language],$C95,T09GSCPageDaily[date],"&gt;="&amp;$A95,T09GSCPageDaily[date],"&lt;"&amp;DATE(YEAR($A95),MONTH($A95)+1,1),T09GSCPageDaily[data_state],"final"))</x:f>
      </x:c>
      <x:c r="G95" s="28" t="str">
        <x:f>IFERROR(IF(D95=0,"",E95/F95),"")</x:f>
      </x:c>
      <x:c r="H95" s="26" t="str">
        <x:f>IF(D95=0,"",IFERROR(SUMPRODUCT((T09GSCPageDaily[target_country]=$B95)*(T09GSCPageDaily[language]=$C95)*(T09GSCPageDaily[date]&gt;=$A95)*(T09GSCPageDaily[date]&lt;DATE(YEAR($A95),MONTH($A95)+1,1))*(T09GSCPageDaily[data_state]="final")*T09GSCPageDaily[avg_position]*T09GSCPageDaily[impressions])/F95,""))</x:f>
      </x:c>
      <x:c r="I95" s="18" t="n">
        <x:f>COUNTIFS(T11GA4LandingDaily[target_country],$B95,T11GA4LandingDaily[language],$C95,T11GA4LandingDaily[date],"&gt;="&amp;$A95,T11GA4LandingDaily[date],"&lt;"&amp;DATE(YEAR($A95),MONTH($A95)+1,1),T11GA4LandingDaily[session_channel],"Organic Search",T11GA4LandingDaily[data_quality],"Measured")</x:f>
        <x:v>0</x:v>
      </x:c>
      <x:c r="J95" s="18" t="str">
        <x:f>IF(I95=0,"",SUMIFS(T11GA4LandingDaily[sessions],T11GA4LandingDaily[target_country],$B95,T11GA4LandingDaily[language],$C95,T11GA4LandingDaily[date],"&gt;="&amp;$A95,T11GA4LandingDaily[date],"&lt;"&amp;DATE(YEAR($A95),MONTH($A95)+1,1),T11GA4LandingDaily[session_channel],"Organic Search",T11GA4LandingDaily[data_quality],"Measured"))</x:f>
      </x:c>
      <x:c r="K95" s="24" t="str">
        <x:f>IF(I95=0,"",SUMIFS(T11GA4LandingDaily[engaged_sessions],T11GA4LandingDaily[target_country],$B95,T11GA4LandingDaily[language],$C95,T11GA4LandingDaily[date],"&gt;="&amp;$A95,T11GA4LandingDaily[date],"&lt;"&amp;DATE(YEAR($A95),MONTH($A95)+1,1),T11GA4LandingDaily[session_channel],"Organic Search",T11GA4LandingDaily[data_quality],"Measured"))</x:f>
      </x:c>
      <x:c r="L95" s="28" t="str">
        <x:f>IFERROR(IF(I95=0,"",K95/J95),"")</x:f>
      </x:c>
      <x:c r="M95" s="24" t="str">
        <x:f>IF(I95=0,"",SUMIFS(T11GA4LandingDaily[key_events],T11GA4LandingDaily[target_country],$B95,T11GA4LandingDaily[language],$C95,T11GA4LandingDaily[date],"&gt;="&amp;$A95,T11GA4LandingDaily[date],"&lt;"&amp;DATE(YEAR($A95),MONTH($A95)+1,1),T11GA4LandingDaily[session_channel],"Organic Search",T11GA4LandingDaily[data_quality],"Measured"))</x:f>
      </x:c>
      <x:c r="N95" s="24" t="str">
        <x:f>IF(I95=0,"",SUMIFS(T11GA4LandingDaily[booking_starts],T11GA4LandingDaily[target_country],$B95,T11GA4LandingDaily[language],$C95,T11GA4LandingDaily[date],"&gt;="&amp;$A95,T11GA4LandingDaily[date],"&lt;"&amp;DATE(YEAR($A95),MONTH($A95)+1,1),T11GA4LandingDaily[session_channel],"Organic Search",T11GA4LandingDaily[data_quality],"Measured"))</x:f>
      </x:c>
      <x:c r="O95" s="24" t="str">
        <x:f>IF(I95=0,"",SUMIFS(T11GA4LandingDaily[purchases],T11GA4LandingDaily[target_country],$B95,T11GA4LandingDaily[language],$C95,T11GA4LandingDaily[date],"&gt;="&amp;$A95,T11GA4LandingDaily[date],"&lt;"&amp;DATE(YEAR($A95),MONTH($A95)+1,1),T11GA4LandingDaily[session_channel],"Organic Search",T11GA4LandingDaily[data_quality],"Measured"))</x:f>
      </x:c>
      <x:c r="P95" s="18" t="str">
        <x:f>IF(OR(I95=0,'25_Config'!$B$11=""),"",IF(COUNTIFS(T11GA4LandingDaily[target_country],$B95,T11GA4LandingDaily[language],$C95,T11GA4LandingDaily[date],"&gt;="&amp;$A95,T11GA4LandingDaily[date],"&lt;"&amp;DATE(YEAR($A95),MONTH($A95)+1,1),T11GA4LandingDaily[session_channel],"Organic Search",T11GA4LandingDaily[data_quality],"Measured",T11GA4LandingDaily[currency],"&lt;&gt;"&amp;'25_Config'!$B$11)&gt;0,"",SUMIFS(T11GA4LandingDaily[purchase_revenue],T11GA4LandingDaily[target_country],$B95,T11GA4LandingDaily[language],$C95,T11GA4LandingDaily[date],"&gt;="&amp;$A95,T11GA4LandingDaily[date],"&lt;"&amp;DATE(YEAR($A95),MONTH($A95)+1,1),T11GA4LandingDaily[session_channel],"Organic Search",T11GA4LandingDaily[data_quality],"Measured")))</x:f>
      </x:c>
      <x:c r="Q95" s="18" t="str">
        <x:f>IF(P95="","",'25_Config'!$B$11)</x:f>
      </x:c>
      <x:c r="R95" s="28"/>
      <x:c r="S95" s="18" t="str">
        <x:f>IF(AND(D95=0,I95=0),"Not refreshed","Check completeness, gaps and sample size")</x:f>
        <x:v>Not refreshed</x:v>
      </x:c>
    </x:row>
    <x:row r="96" ht="30" customHeight="1">
      <x:c r="A96" s="22" t="n">
        <x:v>46266</x:v>
      </x:c>
      <x:c r="B96" s="18" t="str">
        <x:v>Romania</x:v>
      </x:c>
      <x:c r="C96" s="18" t="str">
        <x:v>ro</x:v>
      </x:c>
      <x:c r="D96" s="18" t="n">
        <x:f>COUNTIFS(T09GSCPageDaily[target_country],$B96,T09GSCPageDaily[language],$C96,T09GSCPageDaily[date],"&gt;="&amp;$A96,T09GSCPageDaily[date],"&lt;"&amp;DATE(YEAR($A96),MONTH($A96)+1,1),T09GSCPageDaily[data_state],"final")</x:f>
        <x:v>0</x:v>
      </x:c>
      <x:c r="E96" s="24" t="str">
        <x:f>IF(D96=0,"",SUMIFS(T09GSCPageDaily[clicks],T09GSCPageDaily[target_country],$B96,T09GSCPageDaily[language],$C96,T09GSCPageDaily[date],"&gt;="&amp;$A96,T09GSCPageDaily[date],"&lt;"&amp;DATE(YEAR($A96),MONTH($A96)+1,1),T09GSCPageDaily[data_state],"final"))</x:f>
      </x:c>
      <x:c r="F96" s="24" t="str">
        <x:f>IF(D96=0,"",SUMIFS(T09GSCPageDaily[impressions],T09GSCPageDaily[target_country],$B96,T09GSCPageDaily[language],$C96,T09GSCPageDaily[date],"&gt;="&amp;$A96,T09GSCPageDaily[date],"&lt;"&amp;DATE(YEAR($A96),MONTH($A96)+1,1),T09GSCPageDaily[data_state],"final"))</x:f>
      </x:c>
      <x:c r="G96" s="28" t="str">
        <x:f>IFERROR(IF(D96=0,"",E96/F96),"")</x:f>
      </x:c>
      <x:c r="H96" s="26" t="str">
        <x:f>IF(D96=0,"",IFERROR(SUMPRODUCT((T09GSCPageDaily[target_country]=$B96)*(T09GSCPageDaily[language]=$C96)*(T09GSCPageDaily[date]&gt;=$A96)*(T09GSCPageDaily[date]&lt;DATE(YEAR($A96),MONTH($A96)+1,1))*(T09GSCPageDaily[data_state]="final")*T09GSCPageDaily[avg_position]*T09GSCPageDaily[impressions])/F96,""))</x:f>
      </x:c>
      <x:c r="I96" s="18" t="n">
        <x:f>COUNTIFS(T11GA4LandingDaily[target_country],$B96,T11GA4LandingDaily[language],$C96,T11GA4LandingDaily[date],"&gt;="&amp;$A96,T11GA4LandingDaily[date],"&lt;"&amp;DATE(YEAR($A96),MONTH($A96)+1,1),T11GA4LandingDaily[session_channel],"Organic Search",T11GA4LandingDaily[data_quality],"Measured")</x:f>
        <x:v>0</x:v>
      </x:c>
      <x:c r="J96" s="18" t="str">
        <x:f>IF(I96=0,"",SUMIFS(T11GA4LandingDaily[sessions],T11GA4LandingDaily[target_country],$B96,T11GA4LandingDaily[language],$C96,T11GA4LandingDaily[date],"&gt;="&amp;$A96,T11GA4LandingDaily[date],"&lt;"&amp;DATE(YEAR($A96),MONTH($A96)+1,1),T11GA4LandingDaily[session_channel],"Organic Search",T11GA4LandingDaily[data_quality],"Measured"))</x:f>
      </x:c>
      <x:c r="K96" s="24" t="str">
        <x:f>IF(I96=0,"",SUMIFS(T11GA4LandingDaily[engaged_sessions],T11GA4LandingDaily[target_country],$B96,T11GA4LandingDaily[language],$C96,T11GA4LandingDaily[date],"&gt;="&amp;$A96,T11GA4LandingDaily[date],"&lt;"&amp;DATE(YEAR($A96),MONTH($A96)+1,1),T11GA4LandingDaily[session_channel],"Organic Search",T11GA4LandingDaily[data_quality],"Measured"))</x:f>
      </x:c>
      <x:c r="L96" s="28" t="str">
        <x:f>IFERROR(IF(I96=0,"",K96/J96),"")</x:f>
      </x:c>
      <x:c r="M96" s="24" t="str">
        <x:f>IF(I96=0,"",SUMIFS(T11GA4LandingDaily[key_events],T11GA4LandingDaily[target_country],$B96,T11GA4LandingDaily[language],$C96,T11GA4LandingDaily[date],"&gt;="&amp;$A96,T11GA4LandingDaily[date],"&lt;"&amp;DATE(YEAR($A96),MONTH($A96)+1,1),T11GA4LandingDaily[session_channel],"Organic Search",T11GA4LandingDaily[data_quality],"Measured"))</x:f>
      </x:c>
      <x:c r="N96" s="24" t="str">
        <x:f>IF(I96=0,"",SUMIFS(T11GA4LandingDaily[booking_starts],T11GA4LandingDaily[target_country],$B96,T11GA4LandingDaily[language],$C96,T11GA4LandingDaily[date],"&gt;="&amp;$A96,T11GA4LandingDaily[date],"&lt;"&amp;DATE(YEAR($A96),MONTH($A96)+1,1),T11GA4LandingDaily[session_channel],"Organic Search",T11GA4LandingDaily[data_quality],"Measured"))</x:f>
      </x:c>
      <x:c r="O96" s="24" t="str">
        <x:f>IF(I96=0,"",SUMIFS(T11GA4LandingDaily[purchases],T11GA4LandingDaily[target_country],$B96,T11GA4LandingDaily[language],$C96,T11GA4LandingDaily[date],"&gt;="&amp;$A96,T11GA4LandingDaily[date],"&lt;"&amp;DATE(YEAR($A96),MONTH($A96)+1,1),T11GA4LandingDaily[session_channel],"Organic Search",T11GA4LandingDaily[data_quality],"Measured"))</x:f>
      </x:c>
      <x:c r="P96" s="18" t="str">
        <x:f>IF(OR(I96=0,'25_Config'!$B$11=""),"",IF(COUNTIFS(T11GA4LandingDaily[target_country],$B96,T11GA4LandingDaily[language],$C96,T11GA4LandingDaily[date],"&gt;="&amp;$A96,T11GA4LandingDaily[date],"&lt;"&amp;DATE(YEAR($A96),MONTH($A96)+1,1),T11GA4LandingDaily[session_channel],"Organic Search",T11GA4LandingDaily[data_quality],"Measured",T11GA4LandingDaily[currency],"&lt;&gt;"&amp;'25_Config'!$B$11)&gt;0,"",SUMIFS(T11GA4LandingDaily[purchase_revenue],T11GA4LandingDaily[target_country],$B96,T11GA4LandingDaily[language],$C96,T11GA4LandingDaily[date],"&gt;="&amp;$A96,T11GA4LandingDaily[date],"&lt;"&amp;DATE(YEAR($A96),MONTH($A96)+1,1),T11GA4LandingDaily[session_channel],"Organic Search",T11GA4LandingDaily[data_quality],"Measured")))</x:f>
      </x:c>
      <x:c r="Q96" s="18" t="str">
        <x:f>IF(P96="","",'25_Config'!$B$11)</x:f>
      </x:c>
      <x:c r="R96" s="28"/>
      <x:c r="S96" s="18" t="str">
        <x:f>IF(AND(D96=0,I96=0),"Not refreshed","Check completeness, gaps and sample size")</x:f>
        <x:v>Not refreshed</x:v>
      </x:c>
    </x:row>
    <x:row r="97" ht="30" customHeight="1">
      <x:c r="A97" s="22" t="n">
        <x:v>46266</x:v>
      </x:c>
      <x:c r="B97" s="18" t="str">
        <x:v>Romania</x:v>
      </x:c>
      <x:c r="C97" s="18" t="str">
        <x:v>en</x:v>
      </x:c>
      <x:c r="D97" s="18" t="n">
        <x:f>COUNTIFS(T09GSCPageDaily[target_country],$B97,T09GSCPageDaily[language],$C97,T09GSCPageDaily[date],"&gt;="&amp;$A97,T09GSCPageDaily[date],"&lt;"&amp;DATE(YEAR($A97),MONTH($A97)+1,1),T09GSCPageDaily[data_state],"final")</x:f>
        <x:v>0</x:v>
      </x:c>
      <x:c r="E97" s="24" t="str">
        <x:f>IF(D97=0,"",SUMIFS(T09GSCPageDaily[clicks],T09GSCPageDaily[target_country],$B97,T09GSCPageDaily[language],$C97,T09GSCPageDaily[date],"&gt;="&amp;$A97,T09GSCPageDaily[date],"&lt;"&amp;DATE(YEAR($A97),MONTH($A97)+1,1),T09GSCPageDaily[data_state],"final"))</x:f>
      </x:c>
      <x:c r="F97" s="24" t="str">
        <x:f>IF(D97=0,"",SUMIFS(T09GSCPageDaily[impressions],T09GSCPageDaily[target_country],$B97,T09GSCPageDaily[language],$C97,T09GSCPageDaily[date],"&gt;="&amp;$A97,T09GSCPageDaily[date],"&lt;"&amp;DATE(YEAR($A97),MONTH($A97)+1,1),T09GSCPageDaily[data_state],"final"))</x:f>
      </x:c>
      <x:c r="G97" s="28" t="str">
        <x:f>IFERROR(IF(D97=0,"",E97/F97),"")</x:f>
      </x:c>
      <x:c r="H97" s="26" t="str">
        <x:f>IF(D97=0,"",IFERROR(SUMPRODUCT((T09GSCPageDaily[target_country]=$B97)*(T09GSCPageDaily[language]=$C97)*(T09GSCPageDaily[date]&gt;=$A97)*(T09GSCPageDaily[date]&lt;DATE(YEAR($A97),MONTH($A97)+1,1))*(T09GSCPageDaily[data_state]="final")*T09GSCPageDaily[avg_position]*T09GSCPageDaily[impressions])/F97,""))</x:f>
      </x:c>
      <x:c r="I97" s="18" t="n">
        <x:f>COUNTIFS(T11GA4LandingDaily[target_country],$B97,T11GA4LandingDaily[language],$C97,T11GA4LandingDaily[date],"&gt;="&amp;$A97,T11GA4LandingDaily[date],"&lt;"&amp;DATE(YEAR($A97),MONTH($A97)+1,1),T11GA4LandingDaily[session_channel],"Organic Search",T11GA4LandingDaily[data_quality],"Measured")</x:f>
        <x:v>0</x:v>
      </x:c>
      <x:c r="J97" s="18" t="str">
        <x:f>IF(I97=0,"",SUMIFS(T11GA4LandingDaily[sessions],T11GA4LandingDaily[target_country],$B97,T11GA4LandingDaily[language],$C97,T11GA4LandingDaily[date],"&gt;="&amp;$A97,T11GA4LandingDaily[date],"&lt;"&amp;DATE(YEAR($A97),MONTH($A97)+1,1),T11GA4LandingDaily[session_channel],"Organic Search",T11GA4LandingDaily[data_quality],"Measured"))</x:f>
      </x:c>
      <x:c r="K97" s="24" t="str">
        <x:f>IF(I97=0,"",SUMIFS(T11GA4LandingDaily[engaged_sessions],T11GA4LandingDaily[target_country],$B97,T11GA4LandingDaily[language],$C97,T11GA4LandingDaily[date],"&gt;="&amp;$A97,T11GA4LandingDaily[date],"&lt;"&amp;DATE(YEAR($A97),MONTH($A97)+1,1),T11GA4LandingDaily[session_channel],"Organic Search",T11GA4LandingDaily[data_quality],"Measured"))</x:f>
      </x:c>
      <x:c r="L97" s="28" t="str">
        <x:f>IFERROR(IF(I97=0,"",K97/J97),"")</x:f>
      </x:c>
      <x:c r="M97" s="24" t="str">
        <x:f>IF(I97=0,"",SUMIFS(T11GA4LandingDaily[key_events],T11GA4LandingDaily[target_country],$B97,T11GA4LandingDaily[language],$C97,T11GA4LandingDaily[date],"&gt;="&amp;$A97,T11GA4LandingDaily[date],"&lt;"&amp;DATE(YEAR($A97),MONTH($A97)+1,1),T11GA4LandingDaily[session_channel],"Organic Search",T11GA4LandingDaily[data_quality],"Measured"))</x:f>
      </x:c>
      <x:c r="N97" s="24" t="str">
        <x:f>IF(I97=0,"",SUMIFS(T11GA4LandingDaily[booking_starts],T11GA4LandingDaily[target_country],$B97,T11GA4LandingDaily[language],$C97,T11GA4LandingDaily[date],"&gt;="&amp;$A97,T11GA4LandingDaily[date],"&lt;"&amp;DATE(YEAR($A97),MONTH($A97)+1,1),T11GA4LandingDaily[session_channel],"Organic Search",T11GA4LandingDaily[data_quality],"Measured"))</x:f>
      </x:c>
      <x:c r="O97" s="24" t="str">
        <x:f>IF(I97=0,"",SUMIFS(T11GA4LandingDaily[purchases],T11GA4LandingDaily[target_country],$B97,T11GA4LandingDaily[language],$C97,T11GA4LandingDaily[date],"&gt;="&amp;$A97,T11GA4LandingDaily[date],"&lt;"&amp;DATE(YEAR($A97),MONTH($A97)+1,1),T11GA4LandingDaily[session_channel],"Organic Search",T11GA4LandingDaily[data_quality],"Measured"))</x:f>
      </x:c>
      <x:c r="P97" s="18" t="str">
        <x:f>IF(OR(I97=0,'25_Config'!$B$11=""),"",IF(COUNTIFS(T11GA4LandingDaily[target_country],$B97,T11GA4LandingDaily[language],$C97,T11GA4LandingDaily[date],"&gt;="&amp;$A97,T11GA4LandingDaily[date],"&lt;"&amp;DATE(YEAR($A97),MONTH($A97)+1,1),T11GA4LandingDaily[session_channel],"Organic Search",T11GA4LandingDaily[data_quality],"Measured",T11GA4LandingDaily[currency],"&lt;&gt;"&amp;'25_Config'!$B$11)&gt;0,"",SUMIFS(T11GA4LandingDaily[purchase_revenue],T11GA4LandingDaily[target_country],$B97,T11GA4LandingDaily[language],$C97,T11GA4LandingDaily[date],"&gt;="&amp;$A97,T11GA4LandingDaily[date],"&lt;"&amp;DATE(YEAR($A97),MONTH($A97)+1,1),T11GA4LandingDaily[session_channel],"Organic Search",T11GA4LandingDaily[data_quality],"Measured")))</x:f>
      </x:c>
      <x:c r="Q97" s="18" t="str">
        <x:f>IF(P97="","",'25_Config'!$B$11)</x:f>
      </x:c>
      <x:c r="R97" s="28"/>
      <x:c r="S97" s="18" t="str">
        <x:f>IF(AND(D97=0,I97=0),"Not refreshed","Check completeness, gaps and sample size")</x:f>
        <x:v>Not refreshed</x:v>
      </x:c>
    </x:row>
    <x:row r="98" ht="30" customHeight="1">
      <x:c r="A98" s="22" t="n">
        <x:v>46266</x:v>
      </x:c>
      <x:c r="B98" s="18" t="str">
        <x:v>Romania</x:v>
      </x:c>
      <x:c r="C98" s="18" t="str">
        <x:v>pt</x:v>
      </x:c>
      <x:c r="D98" s="18" t="n">
        <x:f>COUNTIFS(T09GSCPageDaily[target_country],$B98,T09GSCPageDaily[language],$C98,T09GSCPageDaily[date],"&gt;="&amp;$A98,T09GSCPageDaily[date],"&lt;"&amp;DATE(YEAR($A98),MONTH($A98)+1,1),T09GSCPageDaily[data_state],"final")</x:f>
        <x:v>0</x:v>
      </x:c>
      <x:c r="E98" s="24" t="str">
        <x:f>IF(D98=0,"",SUMIFS(T09GSCPageDaily[clicks],T09GSCPageDaily[target_country],$B98,T09GSCPageDaily[language],$C98,T09GSCPageDaily[date],"&gt;="&amp;$A98,T09GSCPageDaily[date],"&lt;"&amp;DATE(YEAR($A98),MONTH($A98)+1,1),T09GSCPageDaily[data_state],"final"))</x:f>
      </x:c>
      <x:c r="F98" s="24" t="str">
        <x:f>IF(D98=0,"",SUMIFS(T09GSCPageDaily[impressions],T09GSCPageDaily[target_country],$B98,T09GSCPageDaily[language],$C98,T09GSCPageDaily[date],"&gt;="&amp;$A98,T09GSCPageDaily[date],"&lt;"&amp;DATE(YEAR($A98),MONTH($A98)+1,1),T09GSCPageDaily[data_state],"final"))</x:f>
      </x:c>
      <x:c r="G98" s="28" t="str">
        <x:f>IFERROR(IF(D98=0,"",E98/F98),"")</x:f>
      </x:c>
      <x:c r="H98" s="26" t="str">
        <x:f>IF(D98=0,"",IFERROR(SUMPRODUCT((T09GSCPageDaily[target_country]=$B98)*(T09GSCPageDaily[language]=$C98)*(T09GSCPageDaily[date]&gt;=$A98)*(T09GSCPageDaily[date]&lt;DATE(YEAR($A98),MONTH($A98)+1,1))*(T09GSCPageDaily[data_state]="final")*T09GSCPageDaily[avg_position]*T09GSCPageDaily[impressions])/F98,""))</x:f>
      </x:c>
      <x:c r="I98" s="18" t="n">
        <x:f>COUNTIFS(T11GA4LandingDaily[target_country],$B98,T11GA4LandingDaily[language],$C98,T11GA4LandingDaily[date],"&gt;="&amp;$A98,T11GA4LandingDaily[date],"&lt;"&amp;DATE(YEAR($A98),MONTH($A98)+1,1),T11GA4LandingDaily[session_channel],"Organic Search",T11GA4LandingDaily[data_quality],"Measured")</x:f>
        <x:v>0</x:v>
      </x:c>
      <x:c r="J98" s="18" t="str">
        <x:f>IF(I98=0,"",SUMIFS(T11GA4LandingDaily[sessions],T11GA4LandingDaily[target_country],$B98,T11GA4LandingDaily[language],$C98,T11GA4LandingDaily[date],"&gt;="&amp;$A98,T11GA4LandingDaily[date],"&lt;"&amp;DATE(YEAR($A98),MONTH($A98)+1,1),T11GA4LandingDaily[session_channel],"Organic Search",T11GA4LandingDaily[data_quality],"Measured"))</x:f>
      </x:c>
      <x:c r="K98" s="24" t="str">
        <x:f>IF(I98=0,"",SUMIFS(T11GA4LandingDaily[engaged_sessions],T11GA4LandingDaily[target_country],$B98,T11GA4LandingDaily[language],$C98,T11GA4LandingDaily[date],"&gt;="&amp;$A98,T11GA4LandingDaily[date],"&lt;"&amp;DATE(YEAR($A98),MONTH($A98)+1,1),T11GA4LandingDaily[session_channel],"Organic Search",T11GA4LandingDaily[data_quality],"Measured"))</x:f>
      </x:c>
      <x:c r="L98" s="28" t="str">
        <x:f>IFERROR(IF(I98=0,"",K98/J98),"")</x:f>
      </x:c>
      <x:c r="M98" s="24" t="str">
        <x:f>IF(I98=0,"",SUMIFS(T11GA4LandingDaily[key_events],T11GA4LandingDaily[target_country],$B98,T11GA4LandingDaily[language],$C98,T11GA4LandingDaily[date],"&gt;="&amp;$A98,T11GA4LandingDaily[date],"&lt;"&amp;DATE(YEAR($A98),MONTH($A98)+1,1),T11GA4LandingDaily[session_channel],"Organic Search",T11GA4LandingDaily[data_quality],"Measured"))</x:f>
      </x:c>
      <x:c r="N98" s="24" t="str">
        <x:f>IF(I98=0,"",SUMIFS(T11GA4LandingDaily[booking_starts],T11GA4LandingDaily[target_country],$B98,T11GA4LandingDaily[language],$C98,T11GA4LandingDaily[date],"&gt;="&amp;$A98,T11GA4LandingDaily[date],"&lt;"&amp;DATE(YEAR($A98),MONTH($A98)+1,1),T11GA4LandingDaily[session_channel],"Organic Search",T11GA4LandingDaily[data_quality],"Measured"))</x:f>
      </x:c>
      <x:c r="O98" s="24" t="str">
        <x:f>IF(I98=0,"",SUMIFS(T11GA4LandingDaily[purchases],T11GA4LandingDaily[target_country],$B98,T11GA4LandingDaily[language],$C98,T11GA4LandingDaily[date],"&gt;="&amp;$A98,T11GA4LandingDaily[date],"&lt;"&amp;DATE(YEAR($A98),MONTH($A98)+1,1),T11GA4LandingDaily[session_channel],"Organic Search",T11GA4LandingDaily[data_quality],"Measured"))</x:f>
      </x:c>
      <x:c r="P98" s="18" t="str">
        <x:f>IF(OR(I98=0,'25_Config'!$B$11=""),"",IF(COUNTIFS(T11GA4LandingDaily[target_country],$B98,T11GA4LandingDaily[language],$C98,T11GA4LandingDaily[date],"&gt;="&amp;$A98,T11GA4LandingDaily[date],"&lt;"&amp;DATE(YEAR($A98),MONTH($A98)+1,1),T11GA4LandingDaily[session_channel],"Organic Search",T11GA4LandingDaily[data_quality],"Measured",T11GA4LandingDaily[currency],"&lt;&gt;"&amp;'25_Config'!$B$11)&gt;0,"",SUMIFS(T11GA4LandingDaily[purchase_revenue],T11GA4LandingDaily[target_country],$B98,T11GA4LandingDaily[language],$C98,T11GA4LandingDaily[date],"&gt;="&amp;$A98,T11GA4LandingDaily[date],"&lt;"&amp;DATE(YEAR($A98),MONTH($A98)+1,1),T11GA4LandingDaily[session_channel],"Organic Search",T11GA4LandingDaily[data_quality],"Measured")))</x:f>
      </x:c>
      <x:c r="Q98" s="18" t="str">
        <x:f>IF(P98="","",'25_Config'!$B$11)</x:f>
      </x:c>
      <x:c r="R98" s="28"/>
      <x:c r="S98" s="18" t="str">
        <x:f>IF(AND(D98=0,I98=0),"Not refreshed","Check completeness, gaps and sample size")</x:f>
        <x:v>Not refreshed</x:v>
      </x:c>
    </x:row>
    <x:row r="99" ht="30" customHeight="1">
      <x:c r="A99" s="22" t="n">
        <x:v>46266</x:v>
      </x:c>
      <x:c r="B99" s="18" t="str">
        <x:v>Romania</x:v>
      </x:c>
      <x:c r="C99" s="18" t="str">
        <x:v>es</x:v>
      </x:c>
      <x:c r="D99" s="18" t="n">
        <x:f>COUNTIFS(T09GSCPageDaily[target_country],$B99,T09GSCPageDaily[language],$C99,T09GSCPageDaily[date],"&gt;="&amp;$A99,T09GSCPageDaily[date],"&lt;"&amp;DATE(YEAR($A99),MONTH($A99)+1,1),T09GSCPageDaily[data_state],"final")</x:f>
        <x:v>0</x:v>
      </x:c>
      <x:c r="E99" s="24" t="str">
        <x:f>IF(D99=0,"",SUMIFS(T09GSCPageDaily[clicks],T09GSCPageDaily[target_country],$B99,T09GSCPageDaily[language],$C99,T09GSCPageDaily[date],"&gt;="&amp;$A99,T09GSCPageDaily[date],"&lt;"&amp;DATE(YEAR($A99),MONTH($A99)+1,1),T09GSCPageDaily[data_state],"final"))</x:f>
      </x:c>
      <x:c r="F99" s="24" t="str">
        <x:f>IF(D99=0,"",SUMIFS(T09GSCPageDaily[impressions],T09GSCPageDaily[target_country],$B99,T09GSCPageDaily[language],$C99,T09GSCPageDaily[date],"&gt;="&amp;$A99,T09GSCPageDaily[date],"&lt;"&amp;DATE(YEAR($A99),MONTH($A99)+1,1),T09GSCPageDaily[data_state],"final"))</x:f>
      </x:c>
      <x:c r="G99" s="28" t="str">
        <x:f>IFERROR(IF(D99=0,"",E99/F99),"")</x:f>
      </x:c>
      <x:c r="H99" s="26" t="str">
        <x:f>IF(D99=0,"",IFERROR(SUMPRODUCT((T09GSCPageDaily[target_country]=$B99)*(T09GSCPageDaily[language]=$C99)*(T09GSCPageDaily[date]&gt;=$A99)*(T09GSCPageDaily[date]&lt;DATE(YEAR($A99),MONTH($A99)+1,1))*(T09GSCPageDaily[data_state]="final")*T09GSCPageDaily[avg_position]*T09GSCPageDaily[impressions])/F99,""))</x:f>
      </x:c>
      <x:c r="I99" s="18" t="n">
        <x:f>COUNTIFS(T11GA4LandingDaily[target_country],$B99,T11GA4LandingDaily[language],$C99,T11GA4LandingDaily[date],"&gt;="&amp;$A99,T11GA4LandingDaily[date],"&lt;"&amp;DATE(YEAR($A99),MONTH($A99)+1,1),T11GA4LandingDaily[session_channel],"Organic Search",T11GA4LandingDaily[data_quality],"Measured")</x:f>
        <x:v>0</x:v>
      </x:c>
      <x:c r="J99" s="18" t="str">
        <x:f>IF(I99=0,"",SUMIFS(T11GA4LandingDaily[sessions],T11GA4LandingDaily[target_country],$B99,T11GA4LandingDaily[language],$C99,T11GA4LandingDaily[date],"&gt;="&amp;$A99,T11GA4LandingDaily[date],"&lt;"&amp;DATE(YEAR($A99),MONTH($A99)+1,1),T11GA4LandingDaily[session_channel],"Organic Search",T11GA4LandingDaily[data_quality],"Measured"))</x:f>
      </x:c>
      <x:c r="K99" s="24" t="str">
        <x:f>IF(I99=0,"",SUMIFS(T11GA4LandingDaily[engaged_sessions],T11GA4LandingDaily[target_country],$B99,T11GA4LandingDaily[language],$C99,T11GA4LandingDaily[date],"&gt;="&amp;$A99,T11GA4LandingDaily[date],"&lt;"&amp;DATE(YEAR($A99),MONTH($A99)+1,1),T11GA4LandingDaily[session_channel],"Organic Search",T11GA4LandingDaily[data_quality],"Measured"))</x:f>
      </x:c>
      <x:c r="L99" s="28" t="str">
        <x:f>IFERROR(IF(I99=0,"",K99/J99),"")</x:f>
      </x:c>
      <x:c r="M99" s="24" t="str">
        <x:f>IF(I99=0,"",SUMIFS(T11GA4LandingDaily[key_events],T11GA4LandingDaily[target_country],$B99,T11GA4LandingDaily[language],$C99,T11GA4LandingDaily[date],"&gt;="&amp;$A99,T11GA4LandingDaily[date],"&lt;"&amp;DATE(YEAR($A99),MONTH($A99)+1,1),T11GA4LandingDaily[session_channel],"Organic Search",T11GA4LandingDaily[data_quality],"Measured"))</x:f>
      </x:c>
      <x:c r="N99" s="24" t="str">
        <x:f>IF(I99=0,"",SUMIFS(T11GA4LandingDaily[booking_starts],T11GA4LandingDaily[target_country],$B99,T11GA4LandingDaily[language],$C99,T11GA4LandingDaily[date],"&gt;="&amp;$A99,T11GA4LandingDaily[date],"&lt;"&amp;DATE(YEAR($A99),MONTH($A99)+1,1),T11GA4LandingDaily[session_channel],"Organic Search",T11GA4LandingDaily[data_quality],"Measured"))</x:f>
      </x:c>
      <x:c r="O99" s="24" t="str">
        <x:f>IF(I99=0,"",SUMIFS(T11GA4LandingDaily[purchases],T11GA4LandingDaily[target_country],$B99,T11GA4LandingDaily[language],$C99,T11GA4LandingDaily[date],"&gt;="&amp;$A99,T11GA4LandingDaily[date],"&lt;"&amp;DATE(YEAR($A99),MONTH($A99)+1,1),T11GA4LandingDaily[session_channel],"Organic Search",T11GA4LandingDaily[data_quality],"Measured"))</x:f>
      </x:c>
      <x:c r="P99" s="18" t="str">
        <x:f>IF(OR(I99=0,'25_Config'!$B$11=""),"",IF(COUNTIFS(T11GA4LandingDaily[target_country],$B99,T11GA4LandingDaily[language],$C99,T11GA4LandingDaily[date],"&gt;="&amp;$A99,T11GA4LandingDaily[date],"&lt;"&amp;DATE(YEAR($A99),MONTH($A99)+1,1),T11GA4LandingDaily[session_channel],"Organic Search",T11GA4LandingDaily[data_quality],"Measured",T11GA4LandingDaily[currency],"&lt;&gt;"&amp;'25_Config'!$B$11)&gt;0,"",SUMIFS(T11GA4LandingDaily[purchase_revenue],T11GA4LandingDaily[target_country],$B99,T11GA4LandingDaily[language],$C99,T11GA4LandingDaily[date],"&gt;="&amp;$A99,T11GA4LandingDaily[date],"&lt;"&amp;DATE(YEAR($A99),MONTH($A99)+1,1),T11GA4LandingDaily[session_channel],"Organic Search",T11GA4LandingDaily[data_quality],"Measured")))</x:f>
      </x:c>
      <x:c r="Q99" s="18" t="str">
        <x:f>IF(P99="","",'25_Config'!$B$11)</x:f>
      </x:c>
      <x:c r="R99" s="28"/>
      <x:c r="S99" s="18" t="str">
        <x:f>IF(AND(D99=0,I99=0),"Not refreshed","Check completeness, gaps and sample size")</x:f>
        <x:v>Not refreshed</x:v>
      </x:c>
    </x:row>
    <x:row r="100" ht="30" customHeight="1">
      <x:c r="A100" s="22" t="n">
        <x:v>46266</x:v>
      </x:c>
      <x:c r="B100" s="18" t="str">
        <x:v>Romania</x:v>
      </x:c>
      <x:c r="C100" s="18" t="str">
        <x:v>cs</x:v>
      </x:c>
      <x:c r="D100" s="18" t="n">
        <x:f>COUNTIFS(T09GSCPageDaily[target_country],$B100,T09GSCPageDaily[language],$C100,T09GSCPageDaily[date],"&gt;="&amp;$A100,T09GSCPageDaily[date],"&lt;"&amp;DATE(YEAR($A100),MONTH($A100)+1,1),T09GSCPageDaily[data_state],"final")</x:f>
        <x:v>0</x:v>
      </x:c>
      <x:c r="E100" s="24" t="str">
        <x:f>IF(D100=0,"",SUMIFS(T09GSCPageDaily[clicks],T09GSCPageDaily[target_country],$B100,T09GSCPageDaily[language],$C100,T09GSCPageDaily[date],"&gt;="&amp;$A100,T09GSCPageDaily[date],"&lt;"&amp;DATE(YEAR($A100),MONTH($A100)+1,1),T09GSCPageDaily[data_state],"final"))</x:f>
      </x:c>
      <x:c r="F100" s="24" t="str">
        <x:f>IF(D100=0,"",SUMIFS(T09GSCPageDaily[impressions],T09GSCPageDaily[target_country],$B100,T09GSCPageDaily[language],$C100,T09GSCPageDaily[date],"&gt;="&amp;$A100,T09GSCPageDaily[date],"&lt;"&amp;DATE(YEAR($A100),MONTH($A100)+1,1),T09GSCPageDaily[data_state],"final"))</x:f>
      </x:c>
      <x:c r="G100" s="28" t="str">
        <x:f>IFERROR(IF(D100=0,"",E100/F100),"")</x:f>
      </x:c>
      <x:c r="H100" s="26" t="str">
        <x:f>IF(D100=0,"",IFERROR(SUMPRODUCT((T09GSCPageDaily[target_country]=$B100)*(T09GSCPageDaily[language]=$C100)*(T09GSCPageDaily[date]&gt;=$A100)*(T09GSCPageDaily[date]&lt;DATE(YEAR($A100),MONTH($A100)+1,1))*(T09GSCPageDaily[data_state]="final")*T09GSCPageDaily[avg_position]*T09GSCPageDaily[impressions])/F100,""))</x:f>
      </x:c>
      <x:c r="I100" s="18" t="n">
        <x:f>COUNTIFS(T11GA4LandingDaily[target_country],$B100,T11GA4LandingDaily[language],$C100,T11GA4LandingDaily[date],"&gt;="&amp;$A100,T11GA4LandingDaily[date],"&lt;"&amp;DATE(YEAR($A100),MONTH($A100)+1,1),T11GA4LandingDaily[session_channel],"Organic Search",T11GA4LandingDaily[data_quality],"Measured")</x:f>
        <x:v>0</x:v>
      </x:c>
      <x:c r="J100" s="18" t="str">
        <x:f>IF(I100=0,"",SUMIFS(T11GA4LandingDaily[sessions],T11GA4LandingDaily[target_country],$B100,T11GA4LandingDaily[language],$C100,T11GA4LandingDaily[date],"&gt;="&amp;$A100,T11GA4LandingDaily[date],"&lt;"&amp;DATE(YEAR($A100),MONTH($A100)+1,1),T11GA4LandingDaily[session_channel],"Organic Search",T11GA4LandingDaily[data_quality],"Measured"))</x:f>
      </x:c>
      <x:c r="K100" s="24" t="str">
        <x:f>IF(I100=0,"",SUMIFS(T11GA4LandingDaily[engaged_sessions],T11GA4LandingDaily[target_country],$B100,T11GA4LandingDaily[language],$C100,T11GA4LandingDaily[date],"&gt;="&amp;$A100,T11GA4LandingDaily[date],"&lt;"&amp;DATE(YEAR($A100),MONTH($A100)+1,1),T11GA4LandingDaily[session_channel],"Organic Search",T11GA4LandingDaily[data_quality],"Measured"))</x:f>
      </x:c>
      <x:c r="L100" s="28" t="str">
        <x:f>IFERROR(IF(I100=0,"",K100/J100),"")</x:f>
      </x:c>
      <x:c r="M100" s="24" t="str">
        <x:f>IF(I100=0,"",SUMIFS(T11GA4LandingDaily[key_events],T11GA4LandingDaily[target_country],$B100,T11GA4LandingDaily[language],$C100,T11GA4LandingDaily[date],"&gt;="&amp;$A100,T11GA4LandingDaily[date],"&lt;"&amp;DATE(YEAR($A100),MONTH($A100)+1,1),T11GA4LandingDaily[session_channel],"Organic Search",T11GA4LandingDaily[data_quality],"Measured"))</x:f>
      </x:c>
      <x:c r="N100" s="24" t="str">
        <x:f>IF(I100=0,"",SUMIFS(T11GA4LandingDaily[booking_starts],T11GA4LandingDaily[target_country],$B100,T11GA4LandingDaily[language],$C100,T11GA4LandingDaily[date],"&gt;="&amp;$A100,T11GA4LandingDaily[date],"&lt;"&amp;DATE(YEAR($A100),MONTH($A100)+1,1),T11GA4LandingDaily[session_channel],"Organic Search",T11GA4LandingDaily[data_quality],"Measured"))</x:f>
      </x:c>
      <x:c r="O100" s="24" t="str">
        <x:f>IF(I100=0,"",SUMIFS(T11GA4LandingDaily[purchases],T11GA4LandingDaily[target_country],$B100,T11GA4LandingDaily[language],$C100,T11GA4LandingDaily[date],"&gt;="&amp;$A100,T11GA4LandingDaily[date],"&lt;"&amp;DATE(YEAR($A100),MONTH($A100)+1,1),T11GA4LandingDaily[session_channel],"Organic Search",T11GA4LandingDaily[data_quality],"Measured"))</x:f>
      </x:c>
      <x:c r="P100" s="18" t="str">
        <x:f>IF(OR(I100=0,'25_Config'!$B$11=""),"",IF(COUNTIFS(T11GA4LandingDaily[target_country],$B100,T11GA4LandingDaily[language],$C100,T11GA4LandingDaily[date],"&gt;="&amp;$A100,T11GA4LandingDaily[date],"&lt;"&amp;DATE(YEAR($A100),MONTH($A100)+1,1),T11GA4LandingDaily[session_channel],"Organic Search",T11GA4LandingDaily[data_quality],"Measured",T11GA4LandingDaily[currency],"&lt;&gt;"&amp;'25_Config'!$B$11)&gt;0,"",SUMIFS(T11GA4LandingDaily[purchase_revenue],T11GA4LandingDaily[target_country],$B100,T11GA4LandingDaily[language],$C100,T11GA4LandingDaily[date],"&gt;="&amp;$A100,T11GA4LandingDaily[date],"&lt;"&amp;DATE(YEAR($A100),MONTH($A100)+1,1),T11GA4LandingDaily[session_channel],"Organic Search",T11GA4LandingDaily[data_quality],"Measured")))</x:f>
      </x:c>
      <x:c r="Q100" s="18" t="str">
        <x:f>IF(P100="","",'25_Config'!$B$11)</x:f>
      </x:c>
      <x:c r="R100" s="28"/>
      <x:c r="S100" s="18" t="str">
        <x:f>IF(AND(D100=0,I100=0),"Not refreshed","Check completeness, gaps and sample size")</x:f>
        <x:v>Not refreshed</x:v>
      </x:c>
    </x:row>
    <x:row r="101" ht="30" customHeight="1">
      <x:c r="A101" s="22" t="n">
        <x:v>46266</x:v>
      </x:c>
      <x:c r="B101" s="18" t="str">
        <x:v>Romania</x:v>
      </x:c>
      <x:c r="C101" s="18" t="str">
        <x:v>de</x:v>
      </x:c>
      <x:c r="D101" s="18" t="n">
        <x:f>COUNTIFS(T09GSCPageDaily[target_country],$B101,T09GSCPageDaily[language],$C101,T09GSCPageDaily[date],"&gt;="&amp;$A101,T09GSCPageDaily[date],"&lt;"&amp;DATE(YEAR($A101),MONTH($A101)+1,1),T09GSCPageDaily[data_state],"final")</x:f>
        <x:v>0</x:v>
      </x:c>
      <x:c r="E101" s="24" t="str">
        <x:f>IF(D101=0,"",SUMIFS(T09GSCPageDaily[clicks],T09GSCPageDaily[target_country],$B101,T09GSCPageDaily[language],$C101,T09GSCPageDaily[date],"&gt;="&amp;$A101,T09GSCPageDaily[date],"&lt;"&amp;DATE(YEAR($A101),MONTH($A101)+1,1),T09GSCPageDaily[data_state],"final"))</x:f>
      </x:c>
      <x:c r="F101" s="24" t="str">
        <x:f>IF(D101=0,"",SUMIFS(T09GSCPageDaily[impressions],T09GSCPageDaily[target_country],$B101,T09GSCPageDaily[language],$C101,T09GSCPageDaily[date],"&gt;="&amp;$A101,T09GSCPageDaily[date],"&lt;"&amp;DATE(YEAR($A101),MONTH($A101)+1,1),T09GSCPageDaily[data_state],"final"))</x:f>
      </x:c>
      <x:c r="G101" s="28" t="str">
        <x:f>IFERROR(IF(D101=0,"",E101/F101),"")</x:f>
      </x:c>
      <x:c r="H101" s="26" t="str">
        <x:f>IF(D101=0,"",IFERROR(SUMPRODUCT((T09GSCPageDaily[target_country]=$B101)*(T09GSCPageDaily[language]=$C101)*(T09GSCPageDaily[date]&gt;=$A101)*(T09GSCPageDaily[date]&lt;DATE(YEAR($A101),MONTH($A101)+1,1))*(T09GSCPageDaily[data_state]="final")*T09GSCPageDaily[avg_position]*T09GSCPageDaily[impressions])/F101,""))</x:f>
      </x:c>
      <x:c r="I101" s="18" t="n">
        <x:f>COUNTIFS(T11GA4LandingDaily[target_country],$B101,T11GA4LandingDaily[language],$C101,T11GA4LandingDaily[date],"&gt;="&amp;$A101,T11GA4LandingDaily[date],"&lt;"&amp;DATE(YEAR($A101),MONTH($A101)+1,1),T11GA4LandingDaily[session_channel],"Organic Search",T11GA4LandingDaily[data_quality],"Measured")</x:f>
        <x:v>0</x:v>
      </x:c>
      <x:c r="J101" s="18" t="str">
        <x:f>IF(I101=0,"",SUMIFS(T11GA4LandingDaily[sessions],T11GA4LandingDaily[target_country],$B101,T11GA4LandingDaily[language],$C101,T11GA4LandingDaily[date],"&gt;="&amp;$A101,T11GA4LandingDaily[date],"&lt;"&amp;DATE(YEAR($A101),MONTH($A101)+1,1),T11GA4LandingDaily[session_channel],"Organic Search",T11GA4LandingDaily[data_quality],"Measured"))</x:f>
      </x:c>
      <x:c r="K101" s="24" t="str">
        <x:f>IF(I101=0,"",SUMIFS(T11GA4LandingDaily[engaged_sessions],T11GA4LandingDaily[target_country],$B101,T11GA4LandingDaily[language],$C101,T11GA4LandingDaily[date],"&gt;="&amp;$A101,T11GA4LandingDaily[date],"&lt;"&amp;DATE(YEAR($A101),MONTH($A101)+1,1),T11GA4LandingDaily[session_channel],"Organic Search",T11GA4LandingDaily[data_quality],"Measured"))</x:f>
      </x:c>
      <x:c r="L101" s="28" t="str">
        <x:f>IFERROR(IF(I101=0,"",K101/J101),"")</x:f>
      </x:c>
      <x:c r="M101" s="24" t="str">
        <x:f>IF(I101=0,"",SUMIFS(T11GA4LandingDaily[key_events],T11GA4LandingDaily[target_country],$B101,T11GA4LandingDaily[language],$C101,T11GA4LandingDaily[date],"&gt;="&amp;$A101,T11GA4LandingDaily[date],"&lt;"&amp;DATE(YEAR($A101),MONTH($A101)+1,1),T11GA4LandingDaily[session_channel],"Organic Search",T11GA4LandingDaily[data_quality],"Measured"))</x:f>
      </x:c>
      <x:c r="N101" s="24" t="str">
        <x:f>IF(I101=0,"",SUMIFS(T11GA4LandingDaily[booking_starts],T11GA4LandingDaily[target_country],$B101,T11GA4LandingDaily[language],$C101,T11GA4LandingDaily[date],"&gt;="&amp;$A101,T11GA4LandingDaily[date],"&lt;"&amp;DATE(YEAR($A101),MONTH($A101)+1,1),T11GA4LandingDaily[session_channel],"Organic Search",T11GA4LandingDaily[data_quality],"Measured"))</x:f>
      </x:c>
      <x:c r="O101" s="24" t="str">
        <x:f>IF(I101=0,"",SUMIFS(T11GA4LandingDaily[purchases],T11GA4LandingDaily[target_country],$B101,T11GA4LandingDaily[language],$C101,T11GA4LandingDaily[date],"&gt;="&amp;$A101,T11GA4LandingDaily[date],"&lt;"&amp;DATE(YEAR($A101),MONTH($A101)+1,1),T11GA4LandingDaily[session_channel],"Organic Search",T11GA4LandingDaily[data_quality],"Measured"))</x:f>
      </x:c>
      <x:c r="P101" s="18" t="str">
        <x:f>IF(OR(I101=0,'25_Config'!$B$11=""),"",IF(COUNTIFS(T11GA4LandingDaily[target_country],$B101,T11GA4LandingDaily[language],$C101,T11GA4LandingDaily[date],"&gt;="&amp;$A101,T11GA4LandingDaily[date],"&lt;"&amp;DATE(YEAR($A101),MONTH($A101)+1,1),T11GA4LandingDaily[session_channel],"Organic Search",T11GA4LandingDaily[data_quality],"Measured",T11GA4LandingDaily[currency],"&lt;&gt;"&amp;'25_Config'!$B$11)&gt;0,"",SUMIFS(T11GA4LandingDaily[purchase_revenue],T11GA4LandingDaily[target_country],$B101,T11GA4LandingDaily[language],$C101,T11GA4LandingDaily[date],"&gt;="&amp;$A101,T11GA4LandingDaily[date],"&lt;"&amp;DATE(YEAR($A101),MONTH($A101)+1,1),T11GA4LandingDaily[session_channel],"Organic Search",T11GA4LandingDaily[data_quality],"Measured")))</x:f>
      </x:c>
      <x:c r="Q101" s="18" t="str">
        <x:f>IF(P101="","",'25_Config'!$B$11)</x:f>
      </x:c>
      <x:c r="R101" s="28"/>
      <x:c r="S101" s="18" t="str">
        <x:f>IF(AND(D101=0,I101=0),"Not refreshed","Check completeness, gaps and sample size")</x:f>
        <x:v>Not refreshed</x:v>
      </x:c>
    </x:row>
    <x:row r="102" ht="30" customHeight="1">
      <x:c r="A102" s="22" t="n">
        <x:v>46266</x:v>
      </x:c>
      <x:c r="B102" s="18" t="str">
        <x:v>Brazil</x:v>
      </x:c>
      <x:c r="C102" s="18" t="str">
        <x:v>pt</x:v>
      </x:c>
      <x:c r="D102" s="18" t="n">
        <x:f>COUNTIFS(T09GSCPageDaily[target_country],$B102,T09GSCPageDaily[language],$C102,T09GSCPageDaily[date],"&gt;="&amp;$A102,T09GSCPageDaily[date],"&lt;"&amp;DATE(YEAR($A102),MONTH($A102)+1,1),T09GSCPageDaily[data_state],"final")</x:f>
        <x:v>0</x:v>
      </x:c>
      <x:c r="E102" s="24" t="str">
        <x:f>IF(D102=0,"",SUMIFS(T09GSCPageDaily[clicks],T09GSCPageDaily[target_country],$B102,T09GSCPageDaily[language],$C102,T09GSCPageDaily[date],"&gt;="&amp;$A102,T09GSCPageDaily[date],"&lt;"&amp;DATE(YEAR($A102),MONTH($A102)+1,1),T09GSCPageDaily[data_state],"final"))</x:f>
      </x:c>
      <x:c r="F102" s="24" t="str">
        <x:f>IF(D102=0,"",SUMIFS(T09GSCPageDaily[impressions],T09GSCPageDaily[target_country],$B102,T09GSCPageDaily[language],$C102,T09GSCPageDaily[date],"&gt;="&amp;$A102,T09GSCPageDaily[date],"&lt;"&amp;DATE(YEAR($A102),MONTH($A102)+1,1),T09GSCPageDaily[data_state],"final"))</x:f>
      </x:c>
      <x:c r="G102" s="28" t="str">
        <x:f>IFERROR(IF(D102=0,"",E102/F102),"")</x:f>
      </x:c>
      <x:c r="H102" s="26" t="str">
        <x:f>IF(D102=0,"",IFERROR(SUMPRODUCT((T09GSCPageDaily[target_country]=$B102)*(T09GSCPageDaily[language]=$C102)*(T09GSCPageDaily[date]&gt;=$A102)*(T09GSCPageDaily[date]&lt;DATE(YEAR($A102),MONTH($A102)+1,1))*(T09GSCPageDaily[data_state]="final")*T09GSCPageDaily[avg_position]*T09GSCPageDaily[impressions])/F102,""))</x:f>
      </x:c>
      <x:c r="I102" s="18" t="n">
        <x:f>COUNTIFS(T11GA4LandingDaily[target_country],$B102,T11GA4LandingDaily[language],$C102,T11GA4LandingDaily[date],"&gt;="&amp;$A102,T11GA4LandingDaily[date],"&lt;"&amp;DATE(YEAR($A102),MONTH($A102)+1,1),T11GA4LandingDaily[session_channel],"Organic Search",T11GA4LandingDaily[data_quality],"Measured")</x:f>
        <x:v>0</x:v>
      </x:c>
      <x:c r="J102" s="18" t="str">
        <x:f>IF(I102=0,"",SUMIFS(T11GA4LandingDaily[sessions],T11GA4LandingDaily[target_country],$B102,T11GA4LandingDaily[language],$C102,T11GA4LandingDaily[date],"&gt;="&amp;$A102,T11GA4LandingDaily[date],"&lt;"&amp;DATE(YEAR($A102),MONTH($A102)+1,1),T11GA4LandingDaily[session_channel],"Organic Search",T11GA4LandingDaily[data_quality],"Measured"))</x:f>
      </x:c>
      <x:c r="K102" s="24" t="str">
        <x:f>IF(I102=0,"",SUMIFS(T11GA4LandingDaily[engaged_sessions],T11GA4LandingDaily[target_country],$B102,T11GA4LandingDaily[language],$C102,T11GA4LandingDaily[date],"&gt;="&amp;$A102,T11GA4LandingDaily[date],"&lt;"&amp;DATE(YEAR($A102),MONTH($A102)+1,1),T11GA4LandingDaily[session_channel],"Organic Search",T11GA4LandingDaily[data_quality],"Measured"))</x:f>
      </x:c>
      <x:c r="L102" s="28" t="str">
        <x:f>IFERROR(IF(I102=0,"",K102/J102),"")</x:f>
      </x:c>
      <x:c r="M102" s="24" t="str">
        <x:f>IF(I102=0,"",SUMIFS(T11GA4LandingDaily[key_events],T11GA4LandingDaily[target_country],$B102,T11GA4LandingDaily[language],$C102,T11GA4LandingDaily[date],"&gt;="&amp;$A102,T11GA4LandingDaily[date],"&lt;"&amp;DATE(YEAR($A102),MONTH($A102)+1,1),T11GA4LandingDaily[session_channel],"Organic Search",T11GA4LandingDaily[data_quality],"Measured"))</x:f>
      </x:c>
      <x:c r="N102" s="24" t="str">
        <x:f>IF(I102=0,"",SUMIFS(T11GA4LandingDaily[booking_starts],T11GA4LandingDaily[target_country],$B102,T11GA4LandingDaily[language],$C102,T11GA4LandingDaily[date],"&gt;="&amp;$A102,T11GA4LandingDaily[date],"&lt;"&amp;DATE(YEAR($A102),MONTH($A102)+1,1),T11GA4LandingDaily[session_channel],"Organic Search",T11GA4LandingDaily[data_quality],"Measured"))</x:f>
      </x:c>
      <x:c r="O102" s="24" t="str">
        <x:f>IF(I102=0,"",SUMIFS(T11GA4LandingDaily[purchases],T11GA4LandingDaily[target_country],$B102,T11GA4LandingDaily[language],$C102,T11GA4LandingDaily[date],"&gt;="&amp;$A102,T11GA4LandingDaily[date],"&lt;"&amp;DATE(YEAR($A102),MONTH($A102)+1,1),T11GA4LandingDaily[session_channel],"Organic Search",T11GA4LandingDaily[data_quality],"Measured"))</x:f>
      </x:c>
      <x:c r="P102" s="18" t="str">
        <x:f>IF(OR(I102=0,'25_Config'!$B$11=""),"",IF(COUNTIFS(T11GA4LandingDaily[target_country],$B102,T11GA4LandingDaily[language],$C102,T11GA4LandingDaily[date],"&gt;="&amp;$A102,T11GA4LandingDaily[date],"&lt;"&amp;DATE(YEAR($A102),MONTH($A102)+1,1),T11GA4LandingDaily[session_channel],"Organic Search",T11GA4LandingDaily[data_quality],"Measured",T11GA4LandingDaily[currency],"&lt;&gt;"&amp;'25_Config'!$B$11)&gt;0,"",SUMIFS(T11GA4LandingDaily[purchase_revenue],T11GA4LandingDaily[target_country],$B102,T11GA4LandingDaily[language],$C102,T11GA4LandingDaily[date],"&gt;="&amp;$A102,T11GA4LandingDaily[date],"&lt;"&amp;DATE(YEAR($A102),MONTH($A102)+1,1),T11GA4LandingDaily[session_channel],"Organic Search",T11GA4LandingDaily[data_quality],"Measured")))</x:f>
      </x:c>
      <x:c r="Q102" s="18" t="str">
        <x:f>IF(P102="","",'25_Config'!$B$11)</x:f>
      </x:c>
      <x:c r="R102" s="28"/>
      <x:c r="S102" s="18" t="str">
        <x:f>IF(AND(D102=0,I102=0),"Not refreshed","Check completeness, gaps and sample size")</x:f>
        <x:v>Not refreshed</x:v>
      </x:c>
    </x:row>
    <x:row r="103" ht="30" customHeight="1">
      <x:c r="A103" s="22" t="n">
        <x:v>46266</x:v>
      </x:c>
      <x:c r="B103" s="18" t="str">
        <x:v>Brazil</x:v>
      </x:c>
      <x:c r="C103" s="18" t="str">
        <x:v>en</x:v>
      </x:c>
      <x:c r="D103" s="18" t="n">
        <x:f>COUNTIFS(T09GSCPageDaily[target_country],$B103,T09GSCPageDaily[language],$C103,T09GSCPageDaily[date],"&gt;="&amp;$A103,T09GSCPageDaily[date],"&lt;"&amp;DATE(YEAR($A103),MONTH($A103)+1,1),T09GSCPageDaily[data_state],"final")</x:f>
        <x:v>0</x:v>
      </x:c>
      <x:c r="E103" s="24" t="str">
        <x:f>IF(D103=0,"",SUMIFS(T09GSCPageDaily[clicks],T09GSCPageDaily[target_country],$B103,T09GSCPageDaily[language],$C103,T09GSCPageDaily[date],"&gt;="&amp;$A103,T09GSCPageDaily[date],"&lt;"&amp;DATE(YEAR($A103),MONTH($A103)+1,1),T09GSCPageDaily[data_state],"final"))</x:f>
      </x:c>
      <x:c r="F103" s="24" t="str">
        <x:f>IF(D103=0,"",SUMIFS(T09GSCPageDaily[impressions],T09GSCPageDaily[target_country],$B103,T09GSCPageDaily[language],$C103,T09GSCPageDaily[date],"&gt;="&amp;$A103,T09GSCPageDaily[date],"&lt;"&amp;DATE(YEAR($A103),MONTH($A103)+1,1),T09GSCPageDaily[data_state],"final"))</x:f>
      </x:c>
      <x:c r="G103" s="28" t="str">
        <x:f>IFERROR(IF(D103=0,"",E103/F103),"")</x:f>
      </x:c>
      <x:c r="H103" s="26" t="str">
        <x:f>IF(D103=0,"",IFERROR(SUMPRODUCT((T09GSCPageDaily[target_country]=$B103)*(T09GSCPageDaily[language]=$C103)*(T09GSCPageDaily[date]&gt;=$A103)*(T09GSCPageDaily[date]&lt;DATE(YEAR($A103),MONTH($A103)+1,1))*(T09GSCPageDaily[data_state]="final")*T09GSCPageDaily[avg_position]*T09GSCPageDaily[impressions])/F103,""))</x:f>
      </x:c>
      <x:c r="I103" s="18" t="n">
        <x:f>COUNTIFS(T11GA4LandingDaily[target_country],$B103,T11GA4LandingDaily[language],$C103,T11GA4LandingDaily[date],"&gt;="&amp;$A103,T11GA4LandingDaily[date],"&lt;"&amp;DATE(YEAR($A103),MONTH($A103)+1,1),T11GA4LandingDaily[session_channel],"Organic Search",T11GA4LandingDaily[data_quality],"Measured")</x:f>
        <x:v>0</x:v>
      </x:c>
      <x:c r="J103" s="18" t="str">
        <x:f>IF(I103=0,"",SUMIFS(T11GA4LandingDaily[sessions],T11GA4LandingDaily[target_country],$B103,T11GA4LandingDaily[language],$C103,T11GA4LandingDaily[date],"&gt;="&amp;$A103,T11GA4LandingDaily[date],"&lt;"&amp;DATE(YEAR($A103),MONTH($A103)+1,1),T11GA4LandingDaily[session_channel],"Organic Search",T11GA4LandingDaily[data_quality],"Measured"))</x:f>
      </x:c>
      <x:c r="K103" s="24" t="str">
        <x:f>IF(I103=0,"",SUMIFS(T11GA4LandingDaily[engaged_sessions],T11GA4LandingDaily[target_country],$B103,T11GA4LandingDaily[language],$C103,T11GA4LandingDaily[date],"&gt;="&amp;$A103,T11GA4LandingDaily[date],"&lt;"&amp;DATE(YEAR($A103),MONTH($A103)+1,1),T11GA4LandingDaily[session_channel],"Organic Search",T11GA4LandingDaily[data_quality],"Measured"))</x:f>
      </x:c>
      <x:c r="L103" s="28" t="str">
        <x:f>IFERROR(IF(I103=0,"",K103/J103),"")</x:f>
      </x:c>
      <x:c r="M103" s="24" t="str">
        <x:f>IF(I103=0,"",SUMIFS(T11GA4LandingDaily[key_events],T11GA4LandingDaily[target_country],$B103,T11GA4LandingDaily[language],$C103,T11GA4LandingDaily[date],"&gt;="&amp;$A103,T11GA4LandingDaily[date],"&lt;"&amp;DATE(YEAR($A103),MONTH($A103)+1,1),T11GA4LandingDaily[session_channel],"Organic Search",T11GA4LandingDaily[data_quality],"Measured"))</x:f>
      </x:c>
      <x:c r="N103" s="24" t="str">
        <x:f>IF(I103=0,"",SUMIFS(T11GA4LandingDaily[booking_starts],T11GA4LandingDaily[target_country],$B103,T11GA4LandingDaily[language],$C103,T11GA4LandingDaily[date],"&gt;="&amp;$A103,T11GA4LandingDaily[date],"&lt;"&amp;DATE(YEAR($A103),MONTH($A103)+1,1),T11GA4LandingDaily[session_channel],"Organic Search",T11GA4LandingDaily[data_quality],"Measured"))</x:f>
      </x:c>
      <x:c r="O103" s="24" t="str">
        <x:f>IF(I103=0,"",SUMIFS(T11GA4LandingDaily[purchases],T11GA4LandingDaily[target_country],$B103,T11GA4LandingDaily[language],$C103,T11GA4LandingDaily[date],"&gt;="&amp;$A103,T11GA4LandingDaily[date],"&lt;"&amp;DATE(YEAR($A103),MONTH($A103)+1,1),T11GA4LandingDaily[session_channel],"Organic Search",T11GA4LandingDaily[data_quality],"Measured"))</x:f>
      </x:c>
      <x:c r="P103" s="18" t="str">
        <x:f>IF(OR(I103=0,'25_Config'!$B$11=""),"",IF(COUNTIFS(T11GA4LandingDaily[target_country],$B103,T11GA4LandingDaily[language],$C103,T11GA4LandingDaily[date],"&gt;="&amp;$A103,T11GA4LandingDaily[date],"&lt;"&amp;DATE(YEAR($A103),MONTH($A103)+1,1),T11GA4LandingDaily[session_channel],"Organic Search",T11GA4LandingDaily[data_quality],"Measured",T11GA4LandingDaily[currency],"&lt;&gt;"&amp;'25_Config'!$B$11)&gt;0,"",SUMIFS(T11GA4LandingDaily[purchase_revenue],T11GA4LandingDaily[target_country],$B103,T11GA4LandingDaily[language],$C103,T11GA4LandingDaily[date],"&gt;="&amp;$A103,T11GA4LandingDaily[date],"&lt;"&amp;DATE(YEAR($A103),MONTH($A103)+1,1),T11GA4LandingDaily[session_channel],"Organic Search",T11GA4LandingDaily[data_quality],"Measured")))</x:f>
      </x:c>
      <x:c r="Q103" s="18" t="str">
        <x:f>IF(P103="","",'25_Config'!$B$11)</x:f>
      </x:c>
      <x:c r="R103" s="28"/>
      <x:c r="S103" s="18" t="str">
        <x:f>IF(AND(D103=0,I103=0),"Not refreshed","Check completeness, gaps and sample size")</x:f>
        <x:v>Not refreshed</x:v>
      </x:c>
    </x:row>
    <x:row r="104" ht="30" customHeight="1">
      <x:c r="A104" s="22" t="n">
        <x:v>46266</x:v>
      </x:c>
      <x:c r="B104" s="18" t="str">
        <x:v>Brazil</x:v>
      </x:c>
      <x:c r="C104" s="18" t="str">
        <x:v>es</x:v>
      </x:c>
      <x:c r="D104" s="18" t="n">
        <x:f>COUNTIFS(T09GSCPageDaily[target_country],$B104,T09GSCPageDaily[language],$C104,T09GSCPageDaily[date],"&gt;="&amp;$A104,T09GSCPageDaily[date],"&lt;"&amp;DATE(YEAR($A104),MONTH($A104)+1,1),T09GSCPageDaily[data_state],"final")</x:f>
        <x:v>0</x:v>
      </x:c>
      <x:c r="E104" s="24" t="str">
        <x:f>IF(D104=0,"",SUMIFS(T09GSCPageDaily[clicks],T09GSCPageDaily[target_country],$B104,T09GSCPageDaily[language],$C104,T09GSCPageDaily[date],"&gt;="&amp;$A104,T09GSCPageDaily[date],"&lt;"&amp;DATE(YEAR($A104),MONTH($A104)+1,1),T09GSCPageDaily[data_state],"final"))</x:f>
      </x:c>
      <x:c r="F104" s="24" t="str">
        <x:f>IF(D104=0,"",SUMIFS(T09GSCPageDaily[impressions],T09GSCPageDaily[target_country],$B104,T09GSCPageDaily[language],$C104,T09GSCPageDaily[date],"&gt;="&amp;$A104,T09GSCPageDaily[date],"&lt;"&amp;DATE(YEAR($A104),MONTH($A104)+1,1),T09GSCPageDaily[data_state],"final"))</x:f>
      </x:c>
      <x:c r="G104" s="28" t="str">
        <x:f>IFERROR(IF(D104=0,"",E104/F104),"")</x:f>
      </x:c>
      <x:c r="H104" s="26" t="str">
        <x:f>IF(D104=0,"",IFERROR(SUMPRODUCT((T09GSCPageDaily[target_country]=$B104)*(T09GSCPageDaily[language]=$C104)*(T09GSCPageDaily[date]&gt;=$A104)*(T09GSCPageDaily[date]&lt;DATE(YEAR($A104),MONTH($A104)+1,1))*(T09GSCPageDaily[data_state]="final")*T09GSCPageDaily[avg_position]*T09GSCPageDaily[impressions])/F104,""))</x:f>
      </x:c>
      <x:c r="I104" s="18" t="n">
        <x:f>COUNTIFS(T11GA4LandingDaily[target_country],$B104,T11GA4LandingDaily[language],$C104,T11GA4LandingDaily[date],"&gt;="&amp;$A104,T11GA4LandingDaily[date],"&lt;"&amp;DATE(YEAR($A104),MONTH($A104)+1,1),T11GA4LandingDaily[session_channel],"Organic Search",T11GA4LandingDaily[data_quality],"Measured")</x:f>
        <x:v>0</x:v>
      </x:c>
      <x:c r="J104" s="18" t="str">
        <x:f>IF(I104=0,"",SUMIFS(T11GA4LandingDaily[sessions],T11GA4LandingDaily[target_country],$B104,T11GA4LandingDaily[language],$C104,T11GA4LandingDaily[date],"&gt;="&amp;$A104,T11GA4LandingDaily[date],"&lt;"&amp;DATE(YEAR($A104),MONTH($A104)+1,1),T11GA4LandingDaily[session_channel],"Organic Search",T11GA4LandingDaily[data_quality],"Measured"))</x:f>
      </x:c>
      <x:c r="K104" s="24" t="str">
        <x:f>IF(I104=0,"",SUMIFS(T11GA4LandingDaily[engaged_sessions],T11GA4LandingDaily[target_country],$B104,T11GA4LandingDaily[language],$C104,T11GA4LandingDaily[date],"&gt;="&amp;$A104,T11GA4LandingDaily[date],"&lt;"&amp;DATE(YEAR($A104),MONTH($A104)+1,1),T11GA4LandingDaily[session_channel],"Organic Search",T11GA4LandingDaily[data_quality],"Measured"))</x:f>
      </x:c>
      <x:c r="L104" s="28" t="str">
        <x:f>IFERROR(IF(I104=0,"",K104/J104),"")</x:f>
      </x:c>
      <x:c r="M104" s="24" t="str">
        <x:f>IF(I104=0,"",SUMIFS(T11GA4LandingDaily[key_events],T11GA4LandingDaily[target_country],$B104,T11GA4LandingDaily[language],$C104,T11GA4LandingDaily[date],"&gt;="&amp;$A104,T11GA4LandingDaily[date],"&lt;"&amp;DATE(YEAR($A104),MONTH($A104)+1,1),T11GA4LandingDaily[session_channel],"Organic Search",T11GA4LandingDaily[data_quality],"Measured"))</x:f>
      </x:c>
      <x:c r="N104" s="24" t="str">
        <x:f>IF(I104=0,"",SUMIFS(T11GA4LandingDaily[booking_starts],T11GA4LandingDaily[target_country],$B104,T11GA4LandingDaily[language],$C104,T11GA4LandingDaily[date],"&gt;="&amp;$A104,T11GA4LandingDaily[date],"&lt;"&amp;DATE(YEAR($A104),MONTH($A104)+1,1),T11GA4LandingDaily[session_channel],"Organic Search",T11GA4LandingDaily[data_quality],"Measured"))</x:f>
      </x:c>
      <x:c r="O104" s="24" t="str">
        <x:f>IF(I104=0,"",SUMIFS(T11GA4LandingDaily[purchases],T11GA4LandingDaily[target_country],$B104,T11GA4LandingDaily[language],$C104,T11GA4LandingDaily[date],"&gt;="&amp;$A104,T11GA4LandingDaily[date],"&lt;"&amp;DATE(YEAR($A104),MONTH($A104)+1,1),T11GA4LandingDaily[session_channel],"Organic Search",T11GA4LandingDaily[data_quality],"Measured"))</x:f>
      </x:c>
      <x:c r="P104" s="18" t="str">
        <x:f>IF(OR(I104=0,'25_Config'!$B$11=""),"",IF(COUNTIFS(T11GA4LandingDaily[target_country],$B104,T11GA4LandingDaily[language],$C104,T11GA4LandingDaily[date],"&gt;="&amp;$A104,T11GA4LandingDaily[date],"&lt;"&amp;DATE(YEAR($A104),MONTH($A104)+1,1),T11GA4LandingDaily[session_channel],"Organic Search",T11GA4LandingDaily[data_quality],"Measured",T11GA4LandingDaily[currency],"&lt;&gt;"&amp;'25_Config'!$B$11)&gt;0,"",SUMIFS(T11GA4LandingDaily[purchase_revenue],T11GA4LandingDaily[target_country],$B104,T11GA4LandingDaily[language],$C104,T11GA4LandingDaily[date],"&gt;="&amp;$A104,T11GA4LandingDaily[date],"&lt;"&amp;DATE(YEAR($A104),MONTH($A104)+1,1),T11GA4LandingDaily[session_channel],"Organic Search",T11GA4LandingDaily[data_quality],"Measured")))</x:f>
      </x:c>
      <x:c r="Q104" s="18" t="str">
        <x:f>IF(P104="","",'25_Config'!$B$11)</x:f>
      </x:c>
      <x:c r="R104" s="28"/>
      <x:c r="S104" s="18" t="str">
        <x:f>IF(AND(D104=0,I104=0),"Not refreshed","Check completeness, gaps and sample size")</x:f>
        <x:v>Not refreshed</x:v>
      </x:c>
    </x:row>
    <x:row r="105" ht="30" customHeight="1">
      <x:c r="A105" s="22"/>
      <x:c r="B105" s="18"/>
      <x:c r="C105" s="18"/>
      <x:c r="D105" s="18"/>
      <x:c r="E105" s="24"/>
      <x:c r="F105" s="24"/>
      <x:c r="G105" s="28"/>
      <x:c r="H105" s="26"/>
      <x:c r="I105" s="18"/>
      <x:c r="J105" s="18"/>
      <x:c r="K105" s="24"/>
      <x:c r="L105" s="28"/>
      <x:c r="M105" s="24"/>
      <x:c r="N105" s="24"/>
      <x:c r="O105" s="24"/>
      <x:c r="P105" s="18"/>
      <x:c r="Q105" s="18"/>
      <x:c r="R105" s="28"/>
      <x:c r="S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4eaf359a709e445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  <x:col min="18" max="18" width="38" hidden="0" customWidth="1"/>
  </x:cols>
  <x:sheetData>
    <x:row r="1" ht="34" customHeight="1">
      <x:c r="A1" s="3" t="str">
        <x:v>KEYWORD MAP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One intent/keyword owner per market/locale where justified. Provider volume and rank are estimates, not GSC facts.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keyword_id</x:v>
      </x:c>
      <x:c r="B5" s="12" t="str">
        <x:v>target_country</x:v>
      </x:c>
      <x:c r="C5" s="12" t="str">
        <x:v>language</x:v>
      </x:c>
      <x:c r="D5" s="12" t="str">
        <x:v>query</x:v>
      </x:c>
      <x:c r="E5" s="12" t="str">
        <x:v>intent</x:v>
      </x:c>
      <x:c r="F5" s="12" t="str">
        <x:v>brand_class</x:v>
      </x:c>
      <x:c r="G5" s="12" t="str">
        <x:v>cluster</x:v>
      </x:c>
      <x:c r="H5" s="12" t="str">
        <x:v>owner_url_id</x:v>
      </x:c>
      <x:c r="I5" s="12" t="str">
        <x:v>owner_url</x:v>
      </x:c>
      <x:c r="J5" s="12" t="str">
        <x:v>volume_estimate</x:v>
      </x:c>
      <x:c r="K5" s="12" t="str">
        <x:v>difficulty_estimate</x:v>
      </x:c>
      <x:c r="L5" s="12" t="str">
        <x:v>current_rank</x:v>
      </x:c>
      <x:c r="M5" s="12" t="str">
        <x:v>serp_device</x:v>
      </x:c>
      <x:c r="N5" s="12" t="str">
        <x:v>serp_location</x:v>
      </x:c>
      <x:c r="O5" s="12" t="str">
        <x:v>provider</x:v>
      </x:c>
      <x:c r="P5" s="12" t="str">
        <x:v>observed_at</x:v>
      </x:c>
      <x:c r="Q5" s="12" t="str">
        <x:v>opportunity</x:v>
      </x:c>
      <x:c r="R5" s="12" t="str">
        <x:v>evidence</x:v>
      </x:c>
    </x:row>
    <x:row r="6" ht="30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22"/>
      <x:c r="Q6" s="18"/>
      <x:c r="R6" s="18"/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22"/>
      <x:c r="Q7" s="18"/>
      <x:c r="R7" s="18"/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22"/>
      <x:c r="Q8" s="18"/>
      <x:c r="R8" s="18"/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22"/>
      <x:c r="Q9" s="18"/>
      <x:c r="R9" s="18"/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22"/>
      <x:c r="Q10" s="18"/>
      <x:c r="R10" s="18"/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22"/>
      <x:c r="Q11" s="18"/>
      <x:c r="R11" s="18"/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22"/>
      <x:c r="Q12" s="18"/>
      <x:c r="R12" s="18"/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22"/>
      <x:c r="Q13" s="18"/>
      <x:c r="R13" s="18"/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22"/>
      <x:c r="Q14" s="18"/>
      <x:c r="R14" s="18"/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22"/>
      <x:c r="Q15" s="18"/>
      <x:c r="R15" s="18"/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22"/>
      <x:c r="Q16" s="18"/>
      <x:c r="R16" s="18"/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22"/>
      <x:c r="Q17" s="18"/>
      <x:c r="R17" s="18"/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22"/>
      <x:c r="Q18" s="18"/>
      <x:c r="R18" s="18"/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22"/>
      <x:c r="Q19" s="18"/>
      <x:c r="R19" s="18"/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22"/>
      <x:c r="Q20" s="18"/>
      <x:c r="R20" s="18"/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22"/>
      <x:c r="Q21" s="18"/>
      <x:c r="R21" s="18"/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22"/>
      <x:c r="Q22" s="18"/>
      <x:c r="R22" s="18"/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22"/>
      <x:c r="Q23" s="18"/>
      <x:c r="R23" s="18"/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22"/>
      <x:c r="Q24" s="18"/>
      <x:c r="R24" s="18"/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22"/>
      <x:c r="Q25" s="18"/>
      <x:c r="R25" s="18"/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22"/>
      <x:c r="Q26" s="18"/>
      <x:c r="R26" s="18"/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22"/>
      <x:c r="Q27" s="18"/>
      <x:c r="R27" s="18"/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22"/>
      <x:c r="Q28" s="18"/>
      <x:c r="R28" s="18"/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22"/>
      <x:c r="Q29" s="18"/>
      <x:c r="R29" s="18"/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22"/>
      <x:c r="Q30" s="18"/>
      <x:c r="R30" s="18"/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22"/>
      <x:c r="Q31" s="18"/>
      <x:c r="R31" s="18"/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22"/>
      <x:c r="Q32" s="18"/>
      <x:c r="R32" s="18"/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22"/>
      <x:c r="Q33" s="18"/>
      <x:c r="R33" s="18"/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22"/>
      <x:c r="Q34" s="18"/>
      <x:c r="R34" s="18"/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22"/>
      <x:c r="Q35" s="18"/>
      <x:c r="R35" s="18"/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22"/>
      <x:c r="Q36" s="18"/>
      <x:c r="R36" s="18"/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22"/>
      <x:c r="Q37" s="18"/>
      <x:c r="R37" s="18"/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22"/>
      <x:c r="Q38" s="18"/>
      <x:c r="R38" s="18"/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22"/>
      <x:c r="Q39" s="18"/>
      <x:c r="R39" s="18"/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22"/>
      <x:c r="Q40" s="18"/>
      <x:c r="R40" s="18"/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22"/>
      <x:c r="Q41" s="18"/>
      <x:c r="R41" s="18"/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22"/>
      <x:c r="Q42" s="18"/>
      <x:c r="R42" s="18"/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22"/>
      <x:c r="Q43" s="18"/>
      <x:c r="R43" s="18"/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22"/>
      <x:c r="Q44" s="18"/>
      <x:c r="R44" s="18"/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22"/>
      <x:c r="Q45" s="18"/>
      <x:c r="R45" s="18"/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22"/>
      <x:c r="Q46" s="18"/>
      <x:c r="R46" s="18"/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22"/>
      <x:c r="Q47" s="18"/>
      <x:c r="R47" s="18"/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22"/>
      <x:c r="Q48" s="18"/>
      <x:c r="R48" s="18"/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22"/>
      <x:c r="Q49" s="18"/>
      <x:c r="R49" s="18"/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22"/>
      <x:c r="Q50" s="18"/>
      <x:c r="R50" s="18"/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22"/>
      <x:c r="Q51" s="18"/>
      <x:c r="R51" s="18"/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22"/>
      <x:c r="Q52" s="18"/>
      <x:c r="R52" s="18"/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22"/>
      <x:c r="Q53" s="18"/>
      <x:c r="R53" s="18"/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22"/>
      <x:c r="Q54" s="18"/>
      <x:c r="R54" s="18"/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22"/>
      <x:c r="Q55" s="18"/>
      <x:c r="R55" s="18"/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22"/>
      <x:c r="Q56" s="18"/>
      <x:c r="R56" s="18"/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22"/>
      <x:c r="Q57" s="18"/>
      <x:c r="R57" s="18"/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22"/>
      <x:c r="Q58" s="18"/>
      <x:c r="R58" s="18"/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22"/>
      <x:c r="Q59" s="18"/>
      <x:c r="R59" s="18"/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22"/>
      <x:c r="Q60" s="18"/>
      <x:c r="R60" s="18"/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22"/>
      <x:c r="Q61" s="18"/>
      <x:c r="R61" s="18"/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22"/>
      <x:c r="Q62" s="18"/>
      <x:c r="R62" s="18"/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22"/>
      <x:c r="Q63" s="18"/>
      <x:c r="R63" s="18"/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22"/>
      <x:c r="Q64" s="18"/>
      <x:c r="R64" s="18"/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22"/>
      <x:c r="Q65" s="18"/>
      <x:c r="R65" s="18"/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22"/>
      <x:c r="Q66" s="18"/>
      <x:c r="R66" s="18"/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22"/>
      <x:c r="Q67" s="18"/>
      <x:c r="R67" s="18"/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22"/>
      <x:c r="Q68" s="18"/>
      <x:c r="R68" s="18"/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22"/>
      <x:c r="Q69" s="18"/>
      <x:c r="R69" s="18"/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22"/>
      <x:c r="Q70" s="18"/>
      <x:c r="R70" s="18"/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22"/>
      <x:c r="Q71" s="18"/>
      <x:c r="R71" s="18"/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22"/>
      <x:c r="Q72" s="18"/>
      <x:c r="R72" s="18"/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22"/>
      <x:c r="Q73" s="18"/>
      <x:c r="R73" s="18"/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22"/>
      <x:c r="Q74" s="18"/>
      <x:c r="R74" s="18"/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22"/>
      <x:c r="Q75" s="18"/>
      <x:c r="R75" s="18"/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22"/>
      <x:c r="Q76" s="18"/>
      <x:c r="R76" s="18"/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22"/>
      <x:c r="Q77" s="18"/>
      <x:c r="R77" s="18"/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22"/>
      <x:c r="Q78" s="18"/>
      <x:c r="R78" s="18"/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22"/>
      <x:c r="Q79" s="18"/>
      <x:c r="R79" s="18"/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22"/>
      <x:c r="Q80" s="18"/>
      <x:c r="R80" s="18"/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22"/>
      <x:c r="Q81" s="18"/>
      <x:c r="R81" s="18"/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22"/>
      <x:c r="Q82" s="18"/>
      <x:c r="R82" s="18"/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22"/>
      <x:c r="Q83" s="18"/>
      <x:c r="R83" s="18"/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22"/>
      <x:c r="Q84" s="18"/>
      <x:c r="R84" s="18"/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22"/>
      <x:c r="Q85" s="18"/>
      <x:c r="R85" s="18"/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22"/>
      <x:c r="Q86" s="18"/>
      <x:c r="R86" s="18"/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22"/>
      <x:c r="Q87" s="18"/>
      <x:c r="R87" s="18"/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22"/>
      <x:c r="Q88" s="18"/>
      <x:c r="R88" s="18"/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22"/>
      <x:c r="Q89" s="18"/>
      <x:c r="R89" s="18"/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22"/>
      <x:c r="Q90" s="18"/>
      <x:c r="R90" s="18"/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22"/>
      <x:c r="Q91" s="18"/>
      <x:c r="R91" s="18"/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22"/>
      <x:c r="Q92" s="18"/>
      <x:c r="R92" s="18"/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22"/>
      <x:c r="Q93" s="18"/>
      <x:c r="R93" s="18"/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22"/>
      <x:c r="Q94" s="18"/>
      <x:c r="R94" s="18"/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22"/>
      <x:c r="Q95" s="18"/>
      <x:c r="R95" s="18"/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22"/>
      <x:c r="Q96" s="18"/>
      <x:c r="R96" s="18"/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22"/>
      <x:c r="Q97" s="18"/>
      <x:c r="R97" s="18"/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22"/>
      <x:c r="Q98" s="18"/>
      <x:c r="R98" s="18"/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22"/>
      <x:c r="Q99" s="18"/>
      <x:c r="R99" s="18"/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22"/>
      <x:c r="Q100" s="18"/>
      <x:c r="R100" s="18"/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22"/>
      <x:c r="Q101" s="18"/>
      <x:c r="R101" s="18"/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22"/>
      <x:c r="Q102" s="18"/>
      <x:c r="R102" s="18"/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22"/>
      <x:c r="Q103" s="18"/>
      <x:c r="R103" s="18"/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22"/>
      <x:c r="Q104" s="18"/>
      <x:c r="R104" s="18"/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22"/>
      <x:c r="Q105" s="18"/>
      <x:c r="R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151617fb4641448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3" hidden="0" customWidth="1"/>
    <x:col min="14" max="14" width="18" hidden="0" customWidth="1"/>
    <x:col min="15" max="15" width="38" hidden="0" customWidth="1"/>
  </x:cols>
  <x:sheetData>
    <x:row r="1" ht="34" customHeight="1">
      <x:c r="A1" s="3" t="str">
        <x:v>COMPETITORS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Local SERP competitors differ from commercial competitors. Compare equivalent intent and query language.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observed_at</x:v>
      </x:c>
      <x:c r="B5" s="12" t="str">
        <x:v>target_country</x:v>
      </x:c>
      <x:c r="C5" s="12" t="str">
        <x:v>language</x:v>
      </x:c>
      <x:c r="D5" s="12" t="str">
        <x:v>query_cluster</x:v>
      </x:c>
      <x:c r="E5" s="12" t="str">
        <x:v>competitor_domain</x:v>
      </x:c>
      <x:c r="F5" s="12" t="str">
        <x:v>ranking_url</x:v>
      </x:c>
      <x:c r="G5" s="12" t="str">
        <x:v>serp_position</x:v>
      </x:c>
      <x:c r="H5" s="12" t="str">
        <x:v>intent</x:v>
      </x:c>
      <x:c r="I5" s="12" t="str">
        <x:v>content_gap</x:v>
      </x:c>
      <x:c r="J5" s="12" t="str">
        <x:v>trust_gap</x:v>
      </x:c>
      <x:c r="K5" s="12" t="str">
        <x:v>local_gap</x:v>
      </x:c>
      <x:c r="L5" s="12" t="str">
        <x:v>provider</x:v>
      </x:c>
      <x:c r="M5" s="12" t="str">
        <x:v>device</x:v>
      </x:c>
      <x:c r="N5" s="12" t="str">
        <x:v>location</x:v>
      </x:c>
      <x:c r="O5" s="12" t="str">
        <x:v>evidence</x:v>
      </x:c>
    </x:row>
    <x:row r="6" ht="30" customHeight="1">
      <x:c r="A6" s="22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</x:row>
    <x:row r="7" ht="30" customHeight="1">
      <x:c r="A7" s="22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</x:row>
    <x:row r="8" ht="30" customHeight="1">
      <x:c r="A8" s="22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</x:row>
    <x:row r="9" ht="30" customHeight="1">
      <x:c r="A9" s="22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</x:row>
    <x:row r="10" ht="30" customHeight="1">
      <x:c r="A10" s="22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</x:row>
    <x:row r="11" ht="30" customHeight="1">
      <x:c r="A11" s="22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 ht="30" customHeight="1">
      <x:c r="A12" s="22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 ht="30" customHeight="1">
      <x:c r="A13" s="22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 ht="30" customHeight="1">
      <x:c r="A14" s="22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</x:row>
    <x:row r="15" ht="30" customHeight="1">
      <x:c r="A15" s="22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</x:row>
    <x:row r="16" ht="30" customHeight="1">
      <x:c r="A16" s="22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 ht="30" customHeight="1">
      <x:c r="A17" s="22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</x:row>
    <x:row r="18" ht="30" customHeight="1">
      <x:c r="A18" s="22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 ht="30" customHeight="1">
      <x:c r="A19" s="22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 ht="30" customHeight="1">
      <x:c r="A20" s="22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 ht="30" customHeight="1">
      <x:c r="A21" s="22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 ht="30" customHeight="1">
      <x:c r="A22" s="22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 ht="30" customHeight="1">
      <x:c r="A23" s="22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 ht="30" customHeight="1">
      <x:c r="A24" s="22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 ht="30" customHeight="1">
      <x:c r="A25" s="22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 ht="30" customHeight="1">
      <x:c r="A26" s="22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 ht="30" customHeight="1">
      <x:c r="A27" s="22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 ht="30" customHeight="1">
      <x:c r="A28" s="22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 ht="30" customHeight="1">
      <x:c r="A29" s="22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 ht="30" customHeight="1">
      <x:c r="A30" s="22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 ht="30" customHeight="1">
      <x:c r="A31" s="22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 ht="30" customHeight="1">
      <x:c r="A32" s="22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 ht="30" customHeight="1">
      <x:c r="A33" s="22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 ht="30" customHeight="1">
      <x:c r="A34" s="22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 ht="30" customHeight="1">
      <x:c r="A35" s="22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 ht="30" customHeight="1">
      <x:c r="A36" s="22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 ht="30" customHeight="1">
      <x:c r="A37" s="22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 ht="30" customHeight="1">
      <x:c r="A38" s="22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 ht="30" customHeight="1">
      <x:c r="A39" s="22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 ht="30" customHeight="1">
      <x:c r="A40" s="22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 ht="30" customHeight="1">
      <x:c r="A41" s="22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 ht="30" customHeight="1">
      <x:c r="A42" s="22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 ht="30" customHeight="1">
      <x:c r="A43" s="22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 ht="30" customHeight="1">
      <x:c r="A44" s="22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 ht="30" customHeight="1">
      <x:c r="A45" s="22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 ht="30" customHeight="1">
      <x:c r="A46" s="22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 ht="30" customHeight="1">
      <x:c r="A47" s="22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 ht="30" customHeight="1">
      <x:c r="A48" s="22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 ht="30" customHeight="1">
      <x:c r="A49" s="22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 ht="30" customHeight="1">
      <x:c r="A50" s="22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 ht="30" customHeight="1">
      <x:c r="A51" s="22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</x:row>
    <x:row r="52" ht="30" customHeight="1">
      <x:c r="A52" s="22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</x:row>
    <x:row r="53" ht="30" customHeight="1">
      <x:c r="A53" s="22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</x:row>
    <x:row r="54" ht="30" customHeight="1">
      <x:c r="A54" s="22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</x:row>
    <x:row r="55" ht="30" customHeight="1">
      <x:c r="A55" s="22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</x:row>
    <x:row r="56" ht="30" customHeight="1">
      <x:c r="A56" s="22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</x:row>
    <x:row r="57" ht="30" customHeight="1">
      <x:c r="A57" s="22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</x:row>
    <x:row r="58" ht="30" customHeight="1">
      <x:c r="A58" s="22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</x:row>
    <x:row r="59" ht="30" customHeight="1">
      <x:c r="A59" s="22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</x:row>
    <x:row r="60" ht="30" customHeight="1">
      <x:c r="A60" s="22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</x:row>
    <x:row r="61" ht="30" customHeight="1">
      <x:c r="A61" s="22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</x:row>
    <x:row r="62" ht="30" customHeight="1">
      <x:c r="A62" s="22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</x:row>
    <x:row r="63" ht="30" customHeight="1">
      <x:c r="A63" s="22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</x:row>
    <x:row r="64" ht="30" customHeight="1">
      <x:c r="A64" s="22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</x:row>
    <x:row r="65" ht="30" customHeight="1">
      <x:c r="A65" s="22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</x:row>
    <x:row r="66" ht="30" customHeight="1">
      <x:c r="A66" s="22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</x:row>
    <x:row r="67" ht="30" customHeight="1">
      <x:c r="A67" s="22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</x:row>
    <x:row r="68" ht="30" customHeight="1">
      <x:c r="A68" s="22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</x:row>
    <x:row r="69" ht="30" customHeight="1">
      <x:c r="A69" s="22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</x:row>
    <x:row r="70" ht="30" customHeight="1">
      <x:c r="A70" s="22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</x:row>
    <x:row r="71" ht="30" customHeight="1">
      <x:c r="A71" s="22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</x:row>
    <x:row r="72" ht="30" customHeight="1">
      <x:c r="A72" s="22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</x:row>
    <x:row r="73" ht="30" customHeight="1">
      <x:c r="A73" s="22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</x:row>
    <x:row r="74" ht="30" customHeight="1">
      <x:c r="A74" s="22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</x:row>
    <x:row r="75" ht="30" customHeight="1">
      <x:c r="A75" s="22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</x:row>
    <x:row r="76" ht="30" customHeight="1">
      <x:c r="A76" s="22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</x:row>
    <x:row r="77" ht="30" customHeight="1">
      <x:c r="A77" s="22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</x:row>
    <x:row r="78" ht="30" customHeight="1">
      <x:c r="A78" s="22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</x:row>
    <x:row r="79" ht="30" customHeight="1">
      <x:c r="A79" s="22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</x:row>
    <x:row r="80" ht="30" customHeight="1">
      <x:c r="A80" s="22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</x:row>
    <x:row r="81" ht="30" customHeight="1">
      <x:c r="A81" s="22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</x:row>
    <x:row r="82" ht="30" customHeight="1">
      <x:c r="A82" s="22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</x:row>
    <x:row r="83" ht="30" customHeight="1">
      <x:c r="A83" s="22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</x:row>
    <x:row r="84" ht="30" customHeight="1">
      <x:c r="A84" s="22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</x:row>
    <x:row r="85" ht="30" customHeight="1">
      <x:c r="A85" s="22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</x:row>
    <x:row r="86" ht="30" customHeight="1">
      <x:c r="A86" s="22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</x:row>
    <x:row r="87" ht="30" customHeight="1">
      <x:c r="A87" s="22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</x:row>
    <x:row r="88" ht="30" customHeight="1">
      <x:c r="A88" s="22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</x:row>
    <x:row r="89" ht="30" customHeight="1">
      <x:c r="A89" s="22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</x:row>
    <x:row r="90" ht="30" customHeight="1">
      <x:c r="A90" s="22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</x:row>
    <x:row r="91" ht="30" customHeight="1">
      <x:c r="A91" s="22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</x:row>
    <x:row r="92" ht="30" customHeight="1">
      <x:c r="A92" s="22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</x:row>
    <x:row r="93" ht="30" customHeight="1">
      <x:c r="A93" s="22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</x:row>
    <x:row r="94" ht="30" customHeight="1">
      <x:c r="A94" s="22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</x:row>
    <x:row r="95" ht="30" customHeight="1">
      <x:c r="A95" s="22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</x:row>
    <x:row r="96" ht="30" customHeight="1">
      <x:c r="A96" s="22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</x:row>
    <x:row r="97" ht="30" customHeight="1">
      <x:c r="A97" s="22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</x:row>
    <x:row r="98" ht="30" customHeight="1">
      <x:c r="A98" s="22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</x:row>
    <x:row r="99" ht="30" customHeight="1">
      <x:c r="A99" s="22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</x:row>
    <x:row r="100" ht="30" customHeight="1">
      <x:c r="A100" s="22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</x:row>
    <x:row r="101" ht="30" customHeight="1">
      <x:c r="A101" s="22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</x:row>
    <x:row r="102" ht="30" customHeight="1">
      <x:c r="A102" s="22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</x:row>
    <x:row r="103" ht="30" customHeight="1">
      <x:c r="A103" s="22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</x:row>
    <x:row r="104" ht="30" customHeight="1">
      <x:c r="A104" s="22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</x:row>
    <x:row r="105" ht="30" customHeight="1">
      <x:c r="A105" s="22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57b07bf61e0d40e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8" hidden="0" customWidth="1"/>
  </x:cols>
  <x:sheetData>
    <x:row r="1" ht="34" customHeight="1">
      <x:c r="A1" s="3" t="str">
        <x:v>BACKLINKS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Track earned-link prospects and existing links. Provider authority metrics are not Google's ranking scores.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observed_at</x:v>
      </x:c>
      <x:c r="B5" s="12" t="str">
        <x:v>target_country</x:v>
      </x:c>
      <x:c r="C5" s="12" t="str">
        <x:v>source_domain</x:v>
      </x:c>
      <x:c r="D5" s="12" t="str">
        <x:v>source_url</x:v>
      </x:c>
      <x:c r="E5" s="12" t="str">
        <x:v>target_url_id</x:v>
      </x:c>
      <x:c r="F5" s="12" t="str">
        <x:v>target_url</x:v>
      </x:c>
      <x:c r="G5" s="12" t="str">
        <x:v>anchor</x:v>
      </x:c>
      <x:c r="H5" s="12" t="str">
        <x:v>rel_attribute</x:v>
      </x:c>
      <x:c r="I5" s="12" t="str">
        <x:v>link_status</x:v>
      </x:c>
      <x:c r="J5" s="12" t="str">
        <x:v>first_seen</x:v>
      </x:c>
      <x:c r="K5" s="12" t="str">
        <x:v>last_seen</x:v>
      </x:c>
      <x:c r="L5" s="12" t="str">
        <x:v>relevance</x:v>
      </x:c>
      <x:c r="M5" s="12" t="str">
        <x:v>provider_metric_name</x:v>
      </x:c>
      <x:c r="N5" s="12" t="str">
        <x:v>provider_metric_value</x:v>
      </x:c>
      <x:c r="O5" s="12" t="str">
        <x:v>opportunity</x:v>
      </x:c>
      <x:c r="P5" s="12" t="str">
        <x:v>owner</x:v>
      </x:c>
      <x:c r="Q5" s="12" t="str">
        <x:v>evidence</x:v>
      </x:c>
    </x:row>
    <x:row r="6" ht="30" customHeight="1">
      <x:c r="A6" s="22"/>
      <x:c r="B6" s="18"/>
      <x:c r="C6" s="18"/>
      <x:c r="D6" s="18"/>
      <x:c r="E6" s="18"/>
      <x:c r="F6" s="18"/>
      <x:c r="G6" s="18"/>
      <x:c r="H6" s="18"/>
      <x:c r="I6" s="18"/>
      <x:c r="J6" s="22"/>
      <x:c r="K6" s="22"/>
      <x:c r="L6" s="18"/>
      <x:c r="M6" s="18"/>
      <x:c r="N6" s="18"/>
      <x:c r="O6" s="18"/>
      <x:c r="P6" s="18"/>
      <x:c r="Q6" s="18"/>
    </x:row>
    <x:row r="7" ht="30" customHeight="1">
      <x:c r="A7" s="22"/>
      <x:c r="B7" s="18"/>
      <x:c r="C7" s="18"/>
      <x:c r="D7" s="18"/>
      <x:c r="E7" s="18"/>
      <x:c r="F7" s="18"/>
      <x:c r="G7" s="18"/>
      <x:c r="H7" s="18"/>
      <x:c r="I7" s="18"/>
      <x:c r="J7" s="22"/>
      <x:c r="K7" s="22"/>
      <x:c r="L7" s="18"/>
      <x:c r="M7" s="18"/>
      <x:c r="N7" s="18"/>
      <x:c r="O7" s="18"/>
      <x:c r="P7" s="18"/>
      <x:c r="Q7" s="18"/>
    </x:row>
    <x:row r="8" ht="30" customHeight="1">
      <x:c r="A8" s="22"/>
      <x:c r="B8" s="18"/>
      <x:c r="C8" s="18"/>
      <x:c r="D8" s="18"/>
      <x:c r="E8" s="18"/>
      <x:c r="F8" s="18"/>
      <x:c r="G8" s="18"/>
      <x:c r="H8" s="18"/>
      <x:c r="I8" s="18"/>
      <x:c r="J8" s="22"/>
      <x:c r="K8" s="22"/>
      <x:c r="L8" s="18"/>
      <x:c r="M8" s="18"/>
      <x:c r="N8" s="18"/>
      <x:c r="O8" s="18"/>
      <x:c r="P8" s="18"/>
      <x:c r="Q8" s="18"/>
    </x:row>
    <x:row r="9" ht="30" customHeight="1">
      <x:c r="A9" s="22"/>
      <x:c r="B9" s="18"/>
      <x:c r="C9" s="18"/>
      <x:c r="D9" s="18"/>
      <x:c r="E9" s="18"/>
      <x:c r="F9" s="18"/>
      <x:c r="G9" s="18"/>
      <x:c r="H9" s="18"/>
      <x:c r="I9" s="18"/>
      <x:c r="J9" s="22"/>
      <x:c r="K9" s="22"/>
      <x:c r="L9" s="18"/>
      <x:c r="M9" s="18"/>
      <x:c r="N9" s="18"/>
      <x:c r="O9" s="18"/>
      <x:c r="P9" s="18"/>
      <x:c r="Q9" s="18"/>
    </x:row>
    <x:row r="10" ht="30" customHeight="1">
      <x:c r="A10" s="22"/>
      <x:c r="B10" s="18"/>
      <x:c r="C10" s="18"/>
      <x:c r="D10" s="18"/>
      <x:c r="E10" s="18"/>
      <x:c r="F10" s="18"/>
      <x:c r="G10" s="18"/>
      <x:c r="H10" s="18"/>
      <x:c r="I10" s="18"/>
      <x:c r="J10" s="22"/>
      <x:c r="K10" s="22"/>
      <x:c r="L10" s="18"/>
      <x:c r="M10" s="18"/>
      <x:c r="N10" s="18"/>
      <x:c r="O10" s="18"/>
      <x:c r="P10" s="18"/>
      <x:c r="Q10" s="18"/>
    </x:row>
    <x:row r="11" ht="30" customHeight="1">
      <x:c r="A11" s="22"/>
      <x:c r="B11" s="18"/>
      <x:c r="C11" s="18"/>
      <x:c r="D11" s="18"/>
      <x:c r="E11" s="18"/>
      <x:c r="F11" s="18"/>
      <x:c r="G11" s="18"/>
      <x:c r="H11" s="18"/>
      <x:c r="I11" s="18"/>
      <x:c r="J11" s="22"/>
      <x:c r="K11" s="22"/>
      <x:c r="L11" s="18"/>
      <x:c r="M11" s="18"/>
      <x:c r="N11" s="18"/>
      <x:c r="O11" s="18"/>
      <x:c r="P11" s="18"/>
      <x:c r="Q11" s="18"/>
    </x:row>
    <x:row r="12" ht="30" customHeight="1">
      <x:c r="A12" s="22"/>
      <x:c r="B12" s="18"/>
      <x:c r="C12" s="18"/>
      <x:c r="D12" s="18"/>
      <x:c r="E12" s="18"/>
      <x:c r="F12" s="18"/>
      <x:c r="G12" s="18"/>
      <x:c r="H12" s="18"/>
      <x:c r="I12" s="18"/>
      <x:c r="J12" s="22"/>
      <x:c r="K12" s="22"/>
      <x:c r="L12" s="18"/>
      <x:c r="M12" s="18"/>
      <x:c r="N12" s="18"/>
      <x:c r="O12" s="18"/>
      <x:c r="P12" s="18"/>
      <x:c r="Q12" s="18"/>
    </x:row>
    <x:row r="13" ht="30" customHeight="1">
      <x:c r="A13" s="22"/>
      <x:c r="B13" s="18"/>
      <x:c r="C13" s="18"/>
      <x:c r="D13" s="18"/>
      <x:c r="E13" s="18"/>
      <x:c r="F13" s="18"/>
      <x:c r="G13" s="18"/>
      <x:c r="H13" s="18"/>
      <x:c r="I13" s="18"/>
      <x:c r="J13" s="22"/>
      <x:c r="K13" s="22"/>
      <x:c r="L13" s="18"/>
      <x:c r="M13" s="18"/>
      <x:c r="N13" s="18"/>
      <x:c r="O13" s="18"/>
      <x:c r="P13" s="18"/>
      <x:c r="Q13" s="18"/>
    </x:row>
    <x:row r="14" ht="30" customHeight="1">
      <x:c r="A14" s="22"/>
      <x:c r="B14" s="18"/>
      <x:c r="C14" s="18"/>
      <x:c r="D14" s="18"/>
      <x:c r="E14" s="18"/>
      <x:c r="F14" s="18"/>
      <x:c r="G14" s="18"/>
      <x:c r="H14" s="18"/>
      <x:c r="I14" s="18"/>
      <x:c r="J14" s="22"/>
      <x:c r="K14" s="22"/>
      <x:c r="L14" s="18"/>
      <x:c r="M14" s="18"/>
      <x:c r="N14" s="18"/>
      <x:c r="O14" s="18"/>
      <x:c r="P14" s="18"/>
      <x:c r="Q14" s="18"/>
    </x:row>
    <x:row r="15" ht="30" customHeight="1">
      <x:c r="A15" s="22"/>
      <x:c r="B15" s="18"/>
      <x:c r="C15" s="18"/>
      <x:c r="D15" s="18"/>
      <x:c r="E15" s="18"/>
      <x:c r="F15" s="18"/>
      <x:c r="G15" s="18"/>
      <x:c r="H15" s="18"/>
      <x:c r="I15" s="18"/>
      <x:c r="J15" s="22"/>
      <x:c r="K15" s="22"/>
      <x:c r="L15" s="18"/>
      <x:c r="M15" s="18"/>
      <x:c r="N15" s="18"/>
      <x:c r="O15" s="18"/>
      <x:c r="P15" s="18"/>
      <x:c r="Q15" s="18"/>
    </x:row>
    <x:row r="16" ht="30" customHeight="1">
      <x:c r="A16" s="22"/>
      <x:c r="B16" s="18"/>
      <x:c r="C16" s="18"/>
      <x:c r="D16" s="18"/>
      <x:c r="E16" s="18"/>
      <x:c r="F16" s="18"/>
      <x:c r="G16" s="18"/>
      <x:c r="H16" s="18"/>
      <x:c r="I16" s="18"/>
      <x:c r="J16" s="22"/>
      <x:c r="K16" s="22"/>
      <x:c r="L16" s="18"/>
      <x:c r="M16" s="18"/>
      <x:c r="N16" s="18"/>
      <x:c r="O16" s="18"/>
      <x:c r="P16" s="18"/>
      <x:c r="Q16" s="18"/>
    </x:row>
    <x:row r="17" ht="30" customHeight="1">
      <x:c r="A17" s="22"/>
      <x:c r="B17" s="18"/>
      <x:c r="C17" s="18"/>
      <x:c r="D17" s="18"/>
      <x:c r="E17" s="18"/>
      <x:c r="F17" s="18"/>
      <x:c r="G17" s="18"/>
      <x:c r="H17" s="18"/>
      <x:c r="I17" s="18"/>
      <x:c r="J17" s="22"/>
      <x:c r="K17" s="22"/>
      <x:c r="L17" s="18"/>
      <x:c r="M17" s="18"/>
      <x:c r="N17" s="18"/>
      <x:c r="O17" s="18"/>
      <x:c r="P17" s="18"/>
      <x:c r="Q17" s="18"/>
    </x:row>
    <x:row r="18" ht="30" customHeight="1">
      <x:c r="A18" s="22"/>
      <x:c r="B18" s="18"/>
      <x:c r="C18" s="18"/>
      <x:c r="D18" s="18"/>
      <x:c r="E18" s="18"/>
      <x:c r="F18" s="18"/>
      <x:c r="G18" s="18"/>
      <x:c r="H18" s="18"/>
      <x:c r="I18" s="18"/>
      <x:c r="J18" s="22"/>
      <x:c r="K18" s="22"/>
      <x:c r="L18" s="18"/>
      <x:c r="M18" s="18"/>
      <x:c r="N18" s="18"/>
      <x:c r="O18" s="18"/>
      <x:c r="P18" s="18"/>
      <x:c r="Q18" s="18"/>
    </x:row>
    <x:row r="19" ht="30" customHeight="1">
      <x:c r="A19" s="22"/>
      <x:c r="B19" s="18"/>
      <x:c r="C19" s="18"/>
      <x:c r="D19" s="18"/>
      <x:c r="E19" s="18"/>
      <x:c r="F19" s="18"/>
      <x:c r="G19" s="18"/>
      <x:c r="H19" s="18"/>
      <x:c r="I19" s="18"/>
      <x:c r="J19" s="22"/>
      <x:c r="K19" s="22"/>
      <x:c r="L19" s="18"/>
      <x:c r="M19" s="18"/>
      <x:c r="N19" s="18"/>
      <x:c r="O19" s="18"/>
      <x:c r="P19" s="18"/>
      <x:c r="Q19" s="18"/>
    </x:row>
    <x:row r="20" ht="30" customHeight="1">
      <x:c r="A20" s="22"/>
      <x:c r="B20" s="18"/>
      <x:c r="C20" s="18"/>
      <x:c r="D20" s="18"/>
      <x:c r="E20" s="18"/>
      <x:c r="F20" s="18"/>
      <x:c r="G20" s="18"/>
      <x:c r="H20" s="18"/>
      <x:c r="I20" s="18"/>
      <x:c r="J20" s="22"/>
      <x:c r="K20" s="22"/>
      <x:c r="L20" s="18"/>
      <x:c r="M20" s="18"/>
      <x:c r="N20" s="18"/>
      <x:c r="O20" s="18"/>
      <x:c r="P20" s="18"/>
      <x:c r="Q20" s="18"/>
    </x:row>
    <x:row r="21" ht="30" customHeight="1">
      <x:c r="A21" s="22"/>
      <x:c r="B21" s="18"/>
      <x:c r="C21" s="18"/>
      <x:c r="D21" s="18"/>
      <x:c r="E21" s="18"/>
      <x:c r="F21" s="18"/>
      <x:c r="G21" s="18"/>
      <x:c r="H21" s="18"/>
      <x:c r="I21" s="18"/>
      <x:c r="J21" s="22"/>
      <x:c r="K21" s="22"/>
      <x:c r="L21" s="18"/>
      <x:c r="M21" s="18"/>
      <x:c r="N21" s="18"/>
      <x:c r="O21" s="18"/>
      <x:c r="P21" s="18"/>
      <x:c r="Q21" s="18"/>
    </x:row>
    <x:row r="22" ht="30" customHeight="1">
      <x:c r="A22" s="22"/>
      <x:c r="B22" s="18"/>
      <x:c r="C22" s="18"/>
      <x:c r="D22" s="18"/>
      <x:c r="E22" s="18"/>
      <x:c r="F22" s="18"/>
      <x:c r="G22" s="18"/>
      <x:c r="H22" s="18"/>
      <x:c r="I22" s="18"/>
      <x:c r="J22" s="22"/>
      <x:c r="K22" s="22"/>
      <x:c r="L22" s="18"/>
      <x:c r="M22" s="18"/>
      <x:c r="N22" s="18"/>
      <x:c r="O22" s="18"/>
      <x:c r="P22" s="18"/>
      <x:c r="Q22" s="18"/>
    </x:row>
    <x:row r="23" ht="30" customHeight="1">
      <x:c r="A23" s="22"/>
      <x:c r="B23" s="18"/>
      <x:c r="C23" s="18"/>
      <x:c r="D23" s="18"/>
      <x:c r="E23" s="18"/>
      <x:c r="F23" s="18"/>
      <x:c r="G23" s="18"/>
      <x:c r="H23" s="18"/>
      <x:c r="I23" s="18"/>
      <x:c r="J23" s="22"/>
      <x:c r="K23" s="22"/>
      <x:c r="L23" s="18"/>
      <x:c r="M23" s="18"/>
      <x:c r="N23" s="18"/>
      <x:c r="O23" s="18"/>
      <x:c r="P23" s="18"/>
      <x:c r="Q23" s="18"/>
    </x:row>
    <x:row r="24" ht="30" customHeight="1">
      <x:c r="A24" s="22"/>
      <x:c r="B24" s="18"/>
      <x:c r="C24" s="18"/>
      <x:c r="D24" s="18"/>
      <x:c r="E24" s="18"/>
      <x:c r="F24" s="18"/>
      <x:c r="G24" s="18"/>
      <x:c r="H24" s="18"/>
      <x:c r="I24" s="18"/>
      <x:c r="J24" s="22"/>
      <x:c r="K24" s="22"/>
      <x:c r="L24" s="18"/>
      <x:c r="M24" s="18"/>
      <x:c r="N24" s="18"/>
      <x:c r="O24" s="18"/>
      <x:c r="P24" s="18"/>
      <x:c r="Q24" s="18"/>
    </x:row>
    <x:row r="25" ht="30" customHeight="1">
      <x:c r="A25" s="22"/>
      <x:c r="B25" s="18"/>
      <x:c r="C25" s="18"/>
      <x:c r="D25" s="18"/>
      <x:c r="E25" s="18"/>
      <x:c r="F25" s="18"/>
      <x:c r="G25" s="18"/>
      <x:c r="H25" s="18"/>
      <x:c r="I25" s="18"/>
      <x:c r="J25" s="22"/>
      <x:c r="K25" s="22"/>
      <x:c r="L25" s="18"/>
      <x:c r="M25" s="18"/>
      <x:c r="N25" s="18"/>
      <x:c r="O25" s="18"/>
      <x:c r="P25" s="18"/>
      <x:c r="Q25" s="18"/>
    </x:row>
    <x:row r="26" ht="30" customHeight="1">
      <x:c r="A26" s="22"/>
      <x:c r="B26" s="18"/>
      <x:c r="C26" s="18"/>
      <x:c r="D26" s="18"/>
      <x:c r="E26" s="18"/>
      <x:c r="F26" s="18"/>
      <x:c r="G26" s="18"/>
      <x:c r="H26" s="18"/>
      <x:c r="I26" s="18"/>
      <x:c r="J26" s="22"/>
      <x:c r="K26" s="22"/>
      <x:c r="L26" s="18"/>
      <x:c r="M26" s="18"/>
      <x:c r="N26" s="18"/>
      <x:c r="O26" s="18"/>
      <x:c r="P26" s="18"/>
      <x:c r="Q26" s="18"/>
    </x:row>
    <x:row r="27" ht="30" customHeight="1">
      <x:c r="A27" s="22"/>
      <x:c r="B27" s="18"/>
      <x:c r="C27" s="18"/>
      <x:c r="D27" s="18"/>
      <x:c r="E27" s="18"/>
      <x:c r="F27" s="18"/>
      <x:c r="G27" s="18"/>
      <x:c r="H27" s="18"/>
      <x:c r="I27" s="18"/>
      <x:c r="J27" s="22"/>
      <x:c r="K27" s="22"/>
      <x:c r="L27" s="18"/>
      <x:c r="M27" s="18"/>
      <x:c r="N27" s="18"/>
      <x:c r="O27" s="18"/>
      <x:c r="P27" s="18"/>
      <x:c r="Q27" s="18"/>
    </x:row>
    <x:row r="28" ht="30" customHeight="1">
      <x:c r="A28" s="22"/>
      <x:c r="B28" s="18"/>
      <x:c r="C28" s="18"/>
      <x:c r="D28" s="18"/>
      <x:c r="E28" s="18"/>
      <x:c r="F28" s="18"/>
      <x:c r="G28" s="18"/>
      <x:c r="H28" s="18"/>
      <x:c r="I28" s="18"/>
      <x:c r="J28" s="22"/>
      <x:c r="K28" s="22"/>
      <x:c r="L28" s="18"/>
      <x:c r="M28" s="18"/>
      <x:c r="N28" s="18"/>
      <x:c r="O28" s="18"/>
      <x:c r="P28" s="18"/>
      <x:c r="Q28" s="18"/>
    </x:row>
    <x:row r="29" ht="30" customHeight="1">
      <x:c r="A29" s="22"/>
      <x:c r="B29" s="18"/>
      <x:c r="C29" s="18"/>
      <x:c r="D29" s="18"/>
      <x:c r="E29" s="18"/>
      <x:c r="F29" s="18"/>
      <x:c r="G29" s="18"/>
      <x:c r="H29" s="18"/>
      <x:c r="I29" s="18"/>
      <x:c r="J29" s="22"/>
      <x:c r="K29" s="22"/>
      <x:c r="L29" s="18"/>
      <x:c r="M29" s="18"/>
      <x:c r="N29" s="18"/>
      <x:c r="O29" s="18"/>
      <x:c r="P29" s="18"/>
      <x:c r="Q29" s="18"/>
    </x:row>
    <x:row r="30" ht="30" customHeight="1">
      <x:c r="A30" s="22"/>
      <x:c r="B30" s="18"/>
      <x:c r="C30" s="18"/>
      <x:c r="D30" s="18"/>
      <x:c r="E30" s="18"/>
      <x:c r="F30" s="18"/>
      <x:c r="G30" s="18"/>
      <x:c r="H30" s="18"/>
      <x:c r="I30" s="18"/>
      <x:c r="J30" s="22"/>
      <x:c r="K30" s="22"/>
      <x:c r="L30" s="18"/>
      <x:c r="M30" s="18"/>
      <x:c r="N30" s="18"/>
      <x:c r="O30" s="18"/>
      <x:c r="P30" s="18"/>
      <x:c r="Q30" s="18"/>
    </x:row>
    <x:row r="31" ht="30" customHeight="1">
      <x:c r="A31" s="22"/>
      <x:c r="B31" s="18"/>
      <x:c r="C31" s="18"/>
      <x:c r="D31" s="18"/>
      <x:c r="E31" s="18"/>
      <x:c r="F31" s="18"/>
      <x:c r="G31" s="18"/>
      <x:c r="H31" s="18"/>
      <x:c r="I31" s="18"/>
      <x:c r="J31" s="22"/>
      <x:c r="K31" s="22"/>
      <x:c r="L31" s="18"/>
      <x:c r="M31" s="18"/>
      <x:c r="N31" s="18"/>
      <x:c r="O31" s="18"/>
      <x:c r="P31" s="18"/>
      <x:c r="Q31" s="18"/>
    </x:row>
    <x:row r="32" ht="30" customHeight="1">
      <x:c r="A32" s="22"/>
      <x:c r="B32" s="18"/>
      <x:c r="C32" s="18"/>
      <x:c r="D32" s="18"/>
      <x:c r="E32" s="18"/>
      <x:c r="F32" s="18"/>
      <x:c r="G32" s="18"/>
      <x:c r="H32" s="18"/>
      <x:c r="I32" s="18"/>
      <x:c r="J32" s="22"/>
      <x:c r="K32" s="22"/>
      <x:c r="L32" s="18"/>
      <x:c r="M32" s="18"/>
      <x:c r="N32" s="18"/>
      <x:c r="O32" s="18"/>
      <x:c r="P32" s="18"/>
      <x:c r="Q32" s="18"/>
    </x:row>
    <x:row r="33" ht="30" customHeight="1">
      <x:c r="A33" s="22"/>
      <x:c r="B33" s="18"/>
      <x:c r="C33" s="18"/>
      <x:c r="D33" s="18"/>
      <x:c r="E33" s="18"/>
      <x:c r="F33" s="18"/>
      <x:c r="G33" s="18"/>
      <x:c r="H33" s="18"/>
      <x:c r="I33" s="18"/>
      <x:c r="J33" s="22"/>
      <x:c r="K33" s="22"/>
      <x:c r="L33" s="18"/>
      <x:c r="M33" s="18"/>
      <x:c r="N33" s="18"/>
      <x:c r="O33" s="18"/>
      <x:c r="P33" s="18"/>
      <x:c r="Q33" s="18"/>
    </x:row>
    <x:row r="34" ht="30" customHeight="1">
      <x:c r="A34" s="22"/>
      <x:c r="B34" s="18"/>
      <x:c r="C34" s="18"/>
      <x:c r="D34" s="18"/>
      <x:c r="E34" s="18"/>
      <x:c r="F34" s="18"/>
      <x:c r="G34" s="18"/>
      <x:c r="H34" s="18"/>
      <x:c r="I34" s="18"/>
      <x:c r="J34" s="22"/>
      <x:c r="K34" s="22"/>
      <x:c r="L34" s="18"/>
      <x:c r="M34" s="18"/>
      <x:c r="N34" s="18"/>
      <x:c r="O34" s="18"/>
      <x:c r="P34" s="18"/>
      <x:c r="Q34" s="18"/>
    </x:row>
    <x:row r="35" ht="30" customHeight="1">
      <x:c r="A35" s="22"/>
      <x:c r="B35" s="18"/>
      <x:c r="C35" s="18"/>
      <x:c r="D35" s="18"/>
      <x:c r="E35" s="18"/>
      <x:c r="F35" s="18"/>
      <x:c r="G35" s="18"/>
      <x:c r="H35" s="18"/>
      <x:c r="I35" s="18"/>
      <x:c r="J35" s="22"/>
      <x:c r="K35" s="22"/>
      <x:c r="L35" s="18"/>
      <x:c r="M35" s="18"/>
      <x:c r="N35" s="18"/>
      <x:c r="O35" s="18"/>
      <x:c r="P35" s="18"/>
      <x:c r="Q35" s="18"/>
    </x:row>
    <x:row r="36" ht="30" customHeight="1">
      <x:c r="A36" s="22"/>
      <x:c r="B36" s="18"/>
      <x:c r="C36" s="18"/>
      <x:c r="D36" s="18"/>
      <x:c r="E36" s="18"/>
      <x:c r="F36" s="18"/>
      <x:c r="G36" s="18"/>
      <x:c r="H36" s="18"/>
      <x:c r="I36" s="18"/>
      <x:c r="J36" s="22"/>
      <x:c r="K36" s="22"/>
      <x:c r="L36" s="18"/>
      <x:c r="M36" s="18"/>
      <x:c r="N36" s="18"/>
      <x:c r="O36" s="18"/>
      <x:c r="P36" s="18"/>
      <x:c r="Q36" s="18"/>
    </x:row>
    <x:row r="37" ht="30" customHeight="1">
      <x:c r="A37" s="22"/>
      <x:c r="B37" s="18"/>
      <x:c r="C37" s="18"/>
      <x:c r="D37" s="18"/>
      <x:c r="E37" s="18"/>
      <x:c r="F37" s="18"/>
      <x:c r="G37" s="18"/>
      <x:c r="H37" s="18"/>
      <x:c r="I37" s="18"/>
      <x:c r="J37" s="22"/>
      <x:c r="K37" s="22"/>
      <x:c r="L37" s="18"/>
      <x:c r="M37" s="18"/>
      <x:c r="N37" s="18"/>
      <x:c r="O37" s="18"/>
      <x:c r="P37" s="18"/>
      <x:c r="Q37" s="18"/>
    </x:row>
    <x:row r="38" ht="30" customHeight="1">
      <x:c r="A38" s="22"/>
      <x:c r="B38" s="18"/>
      <x:c r="C38" s="18"/>
      <x:c r="D38" s="18"/>
      <x:c r="E38" s="18"/>
      <x:c r="F38" s="18"/>
      <x:c r="G38" s="18"/>
      <x:c r="H38" s="18"/>
      <x:c r="I38" s="18"/>
      <x:c r="J38" s="22"/>
      <x:c r="K38" s="22"/>
      <x:c r="L38" s="18"/>
      <x:c r="M38" s="18"/>
      <x:c r="N38" s="18"/>
      <x:c r="O38" s="18"/>
      <x:c r="P38" s="18"/>
      <x:c r="Q38" s="18"/>
    </x:row>
    <x:row r="39" ht="30" customHeight="1">
      <x:c r="A39" s="22"/>
      <x:c r="B39" s="18"/>
      <x:c r="C39" s="18"/>
      <x:c r="D39" s="18"/>
      <x:c r="E39" s="18"/>
      <x:c r="F39" s="18"/>
      <x:c r="G39" s="18"/>
      <x:c r="H39" s="18"/>
      <x:c r="I39" s="18"/>
      <x:c r="J39" s="22"/>
      <x:c r="K39" s="22"/>
      <x:c r="L39" s="18"/>
      <x:c r="M39" s="18"/>
      <x:c r="N39" s="18"/>
      <x:c r="O39" s="18"/>
      <x:c r="P39" s="18"/>
      <x:c r="Q39" s="18"/>
    </x:row>
    <x:row r="40" ht="30" customHeight="1">
      <x:c r="A40" s="22"/>
      <x:c r="B40" s="18"/>
      <x:c r="C40" s="18"/>
      <x:c r="D40" s="18"/>
      <x:c r="E40" s="18"/>
      <x:c r="F40" s="18"/>
      <x:c r="G40" s="18"/>
      <x:c r="H40" s="18"/>
      <x:c r="I40" s="18"/>
      <x:c r="J40" s="22"/>
      <x:c r="K40" s="22"/>
      <x:c r="L40" s="18"/>
      <x:c r="M40" s="18"/>
      <x:c r="N40" s="18"/>
      <x:c r="O40" s="18"/>
      <x:c r="P40" s="18"/>
      <x:c r="Q40" s="18"/>
    </x:row>
    <x:row r="41" ht="30" customHeight="1">
      <x:c r="A41" s="22"/>
      <x:c r="B41" s="18"/>
      <x:c r="C41" s="18"/>
      <x:c r="D41" s="18"/>
      <x:c r="E41" s="18"/>
      <x:c r="F41" s="18"/>
      <x:c r="G41" s="18"/>
      <x:c r="H41" s="18"/>
      <x:c r="I41" s="18"/>
      <x:c r="J41" s="22"/>
      <x:c r="K41" s="22"/>
      <x:c r="L41" s="18"/>
      <x:c r="M41" s="18"/>
      <x:c r="N41" s="18"/>
      <x:c r="O41" s="18"/>
      <x:c r="P41" s="18"/>
      <x:c r="Q41" s="18"/>
    </x:row>
    <x:row r="42" ht="30" customHeight="1">
      <x:c r="A42" s="22"/>
      <x:c r="B42" s="18"/>
      <x:c r="C42" s="18"/>
      <x:c r="D42" s="18"/>
      <x:c r="E42" s="18"/>
      <x:c r="F42" s="18"/>
      <x:c r="G42" s="18"/>
      <x:c r="H42" s="18"/>
      <x:c r="I42" s="18"/>
      <x:c r="J42" s="22"/>
      <x:c r="K42" s="22"/>
      <x:c r="L42" s="18"/>
      <x:c r="M42" s="18"/>
      <x:c r="N42" s="18"/>
      <x:c r="O42" s="18"/>
      <x:c r="P42" s="18"/>
      <x:c r="Q42" s="18"/>
    </x:row>
    <x:row r="43" ht="30" customHeight="1">
      <x:c r="A43" s="22"/>
      <x:c r="B43" s="18"/>
      <x:c r="C43" s="18"/>
      <x:c r="D43" s="18"/>
      <x:c r="E43" s="18"/>
      <x:c r="F43" s="18"/>
      <x:c r="G43" s="18"/>
      <x:c r="H43" s="18"/>
      <x:c r="I43" s="18"/>
      <x:c r="J43" s="22"/>
      <x:c r="K43" s="22"/>
      <x:c r="L43" s="18"/>
      <x:c r="M43" s="18"/>
      <x:c r="N43" s="18"/>
      <x:c r="O43" s="18"/>
      <x:c r="P43" s="18"/>
      <x:c r="Q43" s="18"/>
    </x:row>
    <x:row r="44" ht="30" customHeight="1">
      <x:c r="A44" s="22"/>
      <x:c r="B44" s="18"/>
      <x:c r="C44" s="18"/>
      <x:c r="D44" s="18"/>
      <x:c r="E44" s="18"/>
      <x:c r="F44" s="18"/>
      <x:c r="G44" s="18"/>
      <x:c r="H44" s="18"/>
      <x:c r="I44" s="18"/>
      <x:c r="J44" s="22"/>
      <x:c r="K44" s="22"/>
      <x:c r="L44" s="18"/>
      <x:c r="M44" s="18"/>
      <x:c r="N44" s="18"/>
      <x:c r="O44" s="18"/>
      <x:c r="P44" s="18"/>
      <x:c r="Q44" s="18"/>
    </x:row>
    <x:row r="45" ht="30" customHeight="1">
      <x:c r="A45" s="22"/>
      <x:c r="B45" s="18"/>
      <x:c r="C45" s="18"/>
      <x:c r="D45" s="18"/>
      <x:c r="E45" s="18"/>
      <x:c r="F45" s="18"/>
      <x:c r="G45" s="18"/>
      <x:c r="H45" s="18"/>
      <x:c r="I45" s="18"/>
      <x:c r="J45" s="22"/>
      <x:c r="K45" s="22"/>
      <x:c r="L45" s="18"/>
      <x:c r="M45" s="18"/>
      <x:c r="N45" s="18"/>
      <x:c r="O45" s="18"/>
      <x:c r="P45" s="18"/>
      <x:c r="Q45" s="18"/>
    </x:row>
    <x:row r="46" ht="30" customHeight="1">
      <x:c r="A46" s="22"/>
      <x:c r="B46" s="18"/>
      <x:c r="C46" s="18"/>
      <x:c r="D46" s="18"/>
      <x:c r="E46" s="18"/>
      <x:c r="F46" s="18"/>
      <x:c r="G46" s="18"/>
      <x:c r="H46" s="18"/>
      <x:c r="I46" s="18"/>
      <x:c r="J46" s="22"/>
      <x:c r="K46" s="22"/>
      <x:c r="L46" s="18"/>
      <x:c r="M46" s="18"/>
      <x:c r="N46" s="18"/>
      <x:c r="O46" s="18"/>
      <x:c r="P46" s="18"/>
      <x:c r="Q46" s="18"/>
    </x:row>
    <x:row r="47" ht="30" customHeight="1">
      <x:c r="A47" s="22"/>
      <x:c r="B47" s="18"/>
      <x:c r="C47" s="18"/>
      <x:c r="D47" s="18"/>
      <x:c r="E47" s="18"/>
      <x:c r="F47" s="18"/>
      <x:c r="G47" s="18"/>
      <x:c r="H47" s="18"/>
      <x:c r="I47" s="18"/>
      <x:c r="J47" s="22"/>
      <x:c r="K47" s="22"/>
      <x:c r="L47" s="18"/>
      <x:c r="M47" s="18"/>
      <x:c r="N47" s="18"/>
      <x:c r="O47" s="18"/>
      <x:c r="P47" s="18"/>
      <x:c r="Q47" s="18"/>
    </x:row>
    <x:row r="48" ht="30" customHeight="1">
      <x:c r="A48" s="22"/>
      <x:c r="B48" s="18"/>
      <x:c r="C48" s="18"/>
      <x:c r="D48" s="18"/>
      <x:c r="E48" s="18"/>
      <x:c r="F48" s="18"/>
      <x:c r="G48" s="18"/>
      <x:c r="H48" s="18"/>
      <x:c r="I48" s="18"/>
      <x:c r="J48" s="22"/>
      <x:c r="K48" s="22"/>
      <x:c r="L48" s="18"/>
      <x:c r="M48" s="18"/>
      <x:c r="N48" s="18"/>
      <x:c r="O48" s="18"/>
      <x:c r="P48" s="18"/>
      <x:c r="Q48" s="18"/>
    </x:row>
    <x:row r="49" ht="30" customHeight="1">
      <x:c r="A49" s="22"/>
      <x:c r="B49" s="18"/>
      <x:c r="C49" s="18"/>
      <x:c r="D49" s="18"/>
      <x:c r="E49" s="18"/>
      <x:c r="F49" s="18"/>
      <x:c r="G49" s="18"/>
      <x:c r="H49" s="18"/>
      <x:c r="I49" s="18"/>
      <x:c r="J49" s="22"/>
      <x:c r="K49" s="22"/>
      <x:c r="L49" s="18"/>
      <x:c r="M49" s="18"/>
      <x:c r="N49" s="18"/>
      <x:c r="O49" s="18"/>
      <x:c r="P49" s="18"/>
      <x:c r="Q49" s="18"/>
    </x:row>
    <x:row r="50" ht="30" customHeight="1">
      <x:c r="A50" s="22"/>
      <x:c r="B50" s="18"/>
      <x:c r="C50" s="18"/>
      <x:c r="D50" s="18"/>
      <x:c r="E50" s="18"/>
      <x:c r="F50" s="18"/>
      <x:c r="G50" s="18"/>
      <x:c r="H50" s="18"/>
      <x:c r="I50" s="18"/>
      <x:c r="J50" s="22"/>
      <x:c r="K50" s="22"/>
      <x:c r="L50" s="18"/>
      <x:c r="M50" s="18"/>
      <x:c r="N50" s="18"/>
      <x:c r="O50" s="18"/>
      <x:c r="P50" s="18"/>
      <x:c r="Q50" s="18"/>
    </x:row>
    <x:row r="51" ht="30" customHeight="1">
      <x:c r="A51" s="22"/>
      <x:c r="B51" s="18"/>
      <x:c r="C51" s="18"/>
      <x:c r="D51" s="18"/>
      <x:c r="E51" s="18"/>
      <x:c r="F51" s="18"/>
      <x:c r="G51" s="18"/>
      <x:c r="H51" s="18"/>
      <x:c r="I51" s="18"/>
      <x:c r="J51" s="22"/>
      <x:c r="K51" s="22"/>
      <x:c r="L51" s="18"/>
      <x:c r="M51" s="18"/>
      <x:c r="N51" s="18"/>
      <x:c r="O51" s="18"/>
      <x:c r="P51" s="18"/>
      <x:c r="Q51" s="18"/>
    </x:row>
    <x:row r="52" ht="30" customHeight="1">
      <x:c r="A52" s="22"/>
      <x:c r="B52" s="18"/>
      <x:c r="C52" s="18"/>
      <x:c r="D52" s="18"/>
      <x:c r="E52" s="18"/>
      <x:c r="F52" s="18"/>
      <x:c r="G52" s="18"/>
      <x:c r="H52" s="18"/>
      <x:c r="I52" s="18"/>
      <x:c r="J52" s="22"/>
      <x:c r="K52" s="22"/>
      <x:c r="L52" s="18"/>
      <x:c r="M52" s="18"/>
      <x:c r="N52" s="18"/>
      <x:c r="O52" s="18"/>
      <x:c r="P52" s="18"/>
      <x:c r="Q52" s="18"/>
    </x:row>
    <x:row r="53" ht="30" customHeight="1">
      <x:c r="A53" s="22"/>
      <x:c r="B53" s="18"/>
      <x:c r="C53" s="18"/>
      <x:c r="D53" s="18"/>
      <x:c r="E53" s="18"/>
      <x:c r="F53" s="18"/>
      <x:c r="G53" s="18"/>
      <x:c r="H53" s="18"/>
      <x:c r="I53" s="18"/>
      <x:c r="J53" s="22"/>
      <x:c r="K53" s="22"/>
      <x:c r="L53" s="18"/>
      <x:c r="M53" s="18"/>
      <x:c r="N53" s="18"/>
      <x:c r="O53" s="18"/>
      <x:c r="P53" s="18"/>
      <x:c r="Q53" s="18"/>
    </x:row>
    <x:row r="54" ht="30" customHeight="1">
      <x:c r="A54" s="22"/>
      <x:c r="B54" s="18"/>
      <x:c r="C54" s="18"/>
      <x:c r="D54" s="18"/>
      <x:c r="E54" s="18"/>
      <x:c r="F54" s="18"/>
      <x:c r="G54" s="18"/>
      <x:c r="H54" s="18"/>
      <x:c r="I54" s="18"/>
      <x:c r="J54" s="22"/>
      <x:c r="K54" s="22"/>
      <x:c r="L54" s="18"/>
      <x:c r="M54" s="18"/>
      <x:c r="N54" s="18"/>
      <x:c r="O54" s="18"/>
      <x:c r="P54" s="18"/>
      <x:c r="Q54" s="18"/>
    </x:row>
    <x:row r="55" ht="30" customHeight="1">
      <x:c r="A55" s="22"/>
      <x:c r="B55" s="18"/>
      <x:c r="C55" s="18"/>
      <x:c r="D55" s="18"/>
      <x:c r="E55" s="18"/>
      <x:c r="F55" s="18"/>
      <x:c r="G55" s="18"/>
      <x:c r="H55" s="18"/>
      <x:c r="I55" s="18"/>
      <x:c r="J55" s="22"/>
      <x:c r="K55" s="22"/>
      <x:c r="L55" s="18"/>
      <x:c r="M55" s="18"/>
      <x:c r="N55" s="18"/>
      <x:c r="O55" s="18"/>
      <x:c r="P55" s="18"/>
      <x:c r="Q55" s="18"/>
    </x:row>
    <x:row r="56" ht="30" customHeight="1">
      <x:c r="A56" s="22"/>
      <x:c r="B56" s="18"/>
      <x:c r="C56" s="18"/>
      <x:c r="D56" s="18"/>
      <x:c r="E56" s="18"/>
      <x:c r="F56" s="18"/>
      <x:c r="G56" s="18"/>
      <x:c r="H56" s="18"/>
      <x:c r="I56" s="18"/>
      <x:c r="J56" s="22"/>
      <x:c r="K56" s="22"/>
      <x:c r="L56" s="18"/>
      <x:c r="M56" s="18"/>
      <x:c r="N56" s="18"/>
      <x:c r="O56" s="18"/>
      <x:c r="P56" s="18"/>
      <x:c r="Q56" s="18"/>
    </x:row>
    <x:row r="57" ht="30" customHeight="1">
      <x:c r="A57" s="22"/>
      <x:c r="B57" s="18"/>
      <x:c r="C57" s="18"/>
      <x:c r="D57" s="18"/>
      <x:c r="E57" s="18"/>
      <x:c r="F57" s="18"/>
      <x:c r="G57" s="18"/>
      <x:c r="H57" s="18"/>
      <x:c r="I57" s="18"/>
      <x:c r="J57" s="22"/>
      <x:c r="K57" s="22"/>
      <x:c r="L57" s="18"/>
      <x:c r="M57" s="18"/>
      <x:c r="N57" s="18"/>
      <x:c r="O57" s="18"/>
      <x:c r="P57" s="18"/>
      <x:c r="Q57" s="18"/>
    </x:row>
    <x:row r="58" ht="30" customHeight="1">
      <x:c r="A58" s="22"/>
      <x:c r="B58" s="18"/>
      <x:c r="C58" s="18"/>
      <x:c r="D58" s="18"/>
      <x:c r="E58" s="18"/>
      <x:c r="F58" s="18"/>
      <x:c r="G58" s="18"/>
      <x:c r="H58" s="18"/>
      <x:c r="I58" s="18"/>
      <x:c r="J58" s="22"/>
      <x:c r="K58" s="22"/>
      <x:c r="L58" s="18"/>
      <x:c r="M58" s="18"/>
      <x:c r="N58" s="18"/>
      <x:c r="O58" s="18"/>
      <x:c r="P58" s="18"/>
      <x:c r="Q58" s="18"/>
    </x:row>
    <x:row r="59" ht="30" customHeight="1">
      <x:c r="A59" s="22"/>
      <x:c r="B59" s="18"/>
      <x:c r="C59" s="18"/>
      <x:c r="D59" s="18"/>
      <x:c r="E59" s="18"/>
      <x:c r="F59" s="18"/>
      <x:c r="G59" s="18"/>
      <x:c r="H59" s="18"/>
      <x:c r="I59" s="18"/>
      <x:c r="J59" s="22"/>
      <x:c r="K59" s="22"/>
      <x:c r="L59" s="18"/>
      <x:c r="M59" s="18"/>
      <x:c r="N59" s="18"/>
      <x:c r="O59" s="18"/>
      <x:c r="P59" s="18"/>
      <x:c r="Q59" s="18"/>
    </x:row>
    <x:row r="60" ht="30" customHeight="1">
      <x:c r="A60" s="22"/>
      <x:c r="B60" s="18"/>
      <x:c r="C60" s="18"/>
      <x:c r="D60" s="18"/>
      <x:c r="E60" s="18"/>
      <x:c r="F60" s="18"/>
      <x:c r="G60" s="18"/>
      <x:c r="H60" s="18"/>
      <x:c r="I60" s="18"/>
      <x:c r="J60" s="22"/>
      <x:c r="K60" s="22"/>
      <x:c r="L60" s="18"/>
      <x:c r="M60" s="18"/>
      <x:c r="N60" s="18"/>
      <x:c r="O60" s="18"/>
      <x:c r="P60" s="18"/>
      <x:c r="Q60" s="18"/>
    </x:row>
    <x:row r="61" ht="30" customHeight="1">
      <x:c r="A61" s="22"/>
      <x:c r="B61" s="18"/>
      <x:c r="C61" s="18"/>
      <x:c r="D61" s="18"/>
      <x:c r="E61" s="18"/>
      <x:c r="F61" s="18"/>
      <x:c r="G61" s="18"/>
      <x:c r="H61" s="18"/>
      <x:c r="I61" s="18"/>
      <x:c r="J61" s="22"/>
      <x:c r="K61" s="22"/>
      <x:c r="L61" s="18"/>
      <x:c r="M61" s="18"/>
      <x:c r="N61" s="18"/>
      <x:c r="O61" s="18"/>
      <x:c r="P61" s="18"/>
      <x:c r="Q61" s="18"/>
    </x:row>
    <x:row r="62" ht="30" customHeight="1">
      <x:c r="A62" s="22"/>
      <x:c r="B62" s="18"/>
      <x:c r="C62" s="18"/>
      <x:c r="D62" s="18"/>
      <x:c r="E62" s="18"/>
      <x:c r="F62" s="18"/>
      <x:c r="G62" s="18"/>
      <x:c r="H62" s="18"/>
      <x:c r="I62" s="18"/>
      <x:c r="J62" s="22"/>
      <x:c r="K62" s="22"/>
      <x:c r="L62" s="18"/>
      <x:c r="M62" s="18"/>
      <x:c r="N62" s="18"/>
      <x:c r="O62" s="18"/>
      <x:c r="P62" s="18"/>
      <x:c r="Q62" s="18"/>
    </x:row>
    <x:row r="63" ht="30" customHeight="1">
      <x:c r="A63" s="22"/>
      <x:c r="B63" s="18"/>
      <x:c r="C63" s="18"/>
      <x:c r="D63" s="18"/>
      <x:c r="E63" s="18"/>
      <x:c r="F63" s="18"/>
      <x:c r="G63" s="18"/>
      <x:c r="H63" s="18"/>
      <x:c r="I63" s="18"/>
      <x:c r="J63" s="22"/>
      <x:c r="K63" s="22"/>
      <x:c r="L63" s="18"/>
      <x:c r="M63" s="18"/>
      <x:c r="N63" s="18"/>
      <x:c r="O63" s="18"/>
      <x:c r="P63" s="18"/>
      <x:c r="Q63" s="18"/>
    </x:row>
    <x:row r="64" ht="30" customHeight="1">
      <x:c r="A64" s="22"/>
      <x:c r="B64" s="18"/>
      <x:c r="C64" s="18"/>
      <x:c r="D64" s="18"/>
      <x:c r="E64" s="18"/>
      <x:c r="F64" s="18"/>
      <x:c r="G64" s="18"/>
      <x:c r="H64" s="18"/>
      <x:c r="I64" s="18"/>
      <x:c r="J64" s="22"/>
      <x:c r="K64" s="22"/>
      <x:c r="L64" s="18"/>
      <x:c r="M64" s="18"/>
      <x:c r="N64" s="18"/>
      <x:c r="O64" s="18"/>
      <x:c r="P64" s="18"/>
      <x:c r="Q64" s="18"/>
    </x:row>
    <x:row r="65" ht="30" customHeight="1">
      <x:c r="A65" s="22"/>
      <x:c r="B65" s="18"/>
      <x:c r="C65" s="18"/>
      <x:c r="D65" s="18"/>
      <x:c r="E65" s="18"/>
      <x:c r="F65" s="18"/>
      <x:c r="G65" s="18"/>
      <x:c r="H65" s="18"/>
      <x:c r="I65" s="18"/>
      <x:c r="J65" s="22"/>
      <x:c r="K65" s="22"/>
      <x:c r="L65" s="18"/>
      <x:c r="M65" s="18"/>
      <x:c r="N65" s="18"/>
      <x:c r="O65" s="18"/>
      <x:c r="P65" s="18"/>
      <x:c r="Q65" s="18"/>
    </x:row>
    <x:row r="66" ht="30" customHeight="1">
      <x:c r="A66" s="22"/>
      <x:c r="B66" s="18"/>
      <x:c r="C66" s="18"/>
      <x:c r="D66" s="18"/>
      <x:c r="E66" s="18"/>
      <x:c r="F66" s="18"/>
      <x:c r="G66" s="18"/>
      <x:c r="H66" s="18"/>
      <x:c r="I66" s="18"/>
      <x:c r="J66" s="22"/>
      <x:c r="K66" s="22"/>
      <x:c r="L66" s="18"/>
      <x:c r="M66" s="18"/>
      <x:c r="N66" s="18"/>
      <x:c r="O66" s="18"/>
      <x:c r="P66" s="18"/>
      <x:c r="Q66" s="18"/>
    </x:row>
    <x:row r="67" ht="30" customHeight="1">
      <x:c r="A67" s="22"/>
      <x:c r="B67" s="18"/>
      <x:c r="C67" s="18"/>
      <x:c r="D67" s="18"/>
      <x:c r="E67" s="18"/>
      <x:c r="F67" s="18"/>
      <x:c r="G67" s="18"/>
      <x:c r="H67" s="18"/>
      <x:c r="I67" s="18"/>
      <x:c r="J67" s="22"/>
      <x:c r="K67" s="22"/>
      <x:c r="L67" s="18"/>
      <x:c r="M67" s="18"/>
      <x:c r="N67" s="18"/>
      <x:c r="O67" s="18"/>
      <x:c r="P67" s="18"/>
      <x:c r="Q67" s="18"/>
    </x:row>
    <x:row r="68" ht="30" customHeight="1">
      <x:c r="A68" s="22"/>
      <x:c r="B68" s="18"/>
      <x:c r="C68" s="18"/>
      <x:c r="D68" s="18"/>
      <x:c r="E68" s="18"/>
      <x:c r="F68" s="18"/>
      <x:c r="G68" s="18"/>
      <x:c r="H68" s="18"/>
      <x:c r="I68" s="18"/>
      <x:c r="J68" s="22"/>
      <x:c r="K68" s="22"/>
      <x:c r="L68" s="18"/>
      <x:c r="M68" s="18"/>
      <x:c r="N68" s="18"/>
      <x:c r="O68" s="18"/>
      <x:c r="P68" s="18"/>
      <x:c r="Q68" s="18"/>
    </x:row>
    <x:row r="69" ht="30" customHeight="1">
      <x:c r="A69" s="22"/>
      <x:c r="B69" s="18"/>
      <x:c r="C69" s="18"/>
      <x:c r="D69" s="18"/>
      <x:c r="E69" s="18"/>
      <x:c r="F69" s="18"/>
      <x:c r="G69" s="18"/>
      <x:c r="H69" s="18"/>
      <x:c r="I69" s="18"/>
      <x:c r="J69" s="22"/>
      <x:c r="K69" s="22"/>
      <x:c r="L69" s="18"/>
      <x:c r="M69" s="18"/>
      <x:c r="N69" s="18"/>
      <x:c r="O69" s="18"/>
      <x:c r="P69" s="18"/>
      <x:c r="Q69" s="18"/>
    </x:row>
    <x:row r="70" ht="30" customHeight="1">
      <x:c r="A70" s="22"/>
      <x:c r="B70" s="18"/>
      <x:c r="C70" s="18"/>
      <x:c r="D70" s="18"/>
      <x:c r="E70" s="18"/>
      <x:c r="F70" s="18"/>
      <x:c r="G70" s="18"/>
      <x:c r="H70" s="18"/>
      <x:c r="I70" s="18"/>
      <x:c r="J70" s="22"/>
      <x:c r="K70" s="22"/>
      <x:c r="L70" s="18"/>
      <x:c r="M70" s="18"/>
      <x:c r="N70" s="18"/>
      <x:c r="O70" s="18"/>
      <x:c r="P70" s="18"/>
      <x:c r="Q70" s="18"/>
    </x:row>
    <x:row r="71" ht="30" customHeight="1">
      <x:c r="A71" s="22"/>
      <x:c r="B71" s="18"/>
      <x:c r="C71" s="18"/>
      <x:c r="D71" s="18"/>
      <x:c r="E71" s="18"/>
      <x:c r="F71" s="18"/>
      <x:c r="G71" s="18"/>
      <x:c r="H71" s="18"/>
      <x:c r="I71" s="18"/>
      <x:c r="J71" s="22"/>
      <x:c r="K71" s="22"/>
      <x:c r="L71" s="18"/>
      <x:c r="M71" s="18"/>
      <x:c r="N71" s="18"/>
      <x:c r="O71" s="18"/>
      <x:c r="P71" s="18"/>
      <x:c r="Q71" s="18"/>
    </x:row>
    <x:row r="72" ht="30" customHeight="1">
      <x:c r="A72" s="22"/>
      <x:c r="B72" s="18"/>
      <x:c r="C72" s="18"/>
      <x:c r="D72" s="18"/>
      <x:c r="E72" s="18"/>
      <x:c r="F72" s="18"/>
      <x:c r="G72" s="18"/>
      <x:c r="H72" s="18"/>
      <x:c r="I72" s="18"/>
      <x:c r="J72" s="22"/>
      <x:c r="K72" s="22"/>
      <x:c r="L72" s="18"/>
      <x:c r="M72" s="18"/>
      <x:c r="N72" s="18"/>
      <x:c r="O72" s="18"/>
      <x:c r="P72" s="18"/>
      <x:c r="Q72" s="18"/>
    </x:row>
    <x:row r="73" ht="30" customHeight="1">
      <x:c r="A73" s="22"/>
      <x:c r="B73" s="18"/>
      <x:c r="C73" s="18"/>
      <x:c r="D73" s="18"/>
      <x:c r="E73" s="18"/>
      <x:c r="F73" s="18"/>
      <x:c r="G73" s="18"/>
      <x:c r="H73" s="18"/>
      <x:c r="I73" s="18"/>
      <x:c r="J73" s="22"/>
      <x:c r="K73" s="22"/>
      <x:c r="L73" s="18"/>
      <x:c r="M73" s="18"/>
      <x:c r="N73" s="18"/>
      <x:c r="O73" s="18"/>
      <x:c r="P73" s="18"/>
      <x:c r="Q73" s="18"/>
    </x:row>
    <x:row r="74" ht="30" customHeight="1">
      <x:c r="A74" s="22"/>
      <x:c r="B74" s="18"/>
      <x:c r="C74" s="18"/>
      <x:c r="D74" s="18"/>
      <x:c r="E74" s="18"/>
      <x:c r="F74" s="18"/>
      <x:c r="G74" s="18"/>
      <x:c r="H74" s="18"/>
      <x:c r="I74" s="18"/>
      <x:c r="J74" s="22"/>
      <x:c r="K74" s="22"/>
      <x:c r="L74" s="18"/>
      <x:c r="M74" s="18"/>
      <x:c r="N74" s="18"/>
      <x:c r="O74" s="18"/>
      <x:c r="P74" s="18"/>
      <x:c r="Q74" s="18"/>
    </x:row>
    <x:row r="75" ht="30" customHeight="1">
      <x:c r="A75" s="22"/>
      <x:c r="B75" s="18"/>
      <x:c r="C75" s="18"/>
      <x:c r="D75" s="18"/>
      <x:c r="E75" s="18"/>
      <x:c r="F75" s="18"/>
      <x:c r="G75" s="18"/>
      <x:c r="H75" s="18"/>
      <x:c r="I75" s="18"/>
      <x:c r="J75" s="22"/>
      <x:c r="K75" s="22"/>
      <x:c r="L75" s="18"/>
      <x:c r="M75" s="18"/>
      <x:c r="N75" s="18"/>
      <x:c r="O75" s="18"/>
      <x:c r="P75" s="18"/>
      <x:c r="Q75" s="18"/>
    </x:row>
    <x:row r="76" ht="30" customHeight="1">
      <x:c r="A76" s="22"/>
      <x:c r="B76" s="18"/>
      <x:c r="C76" s="18"/>
      <x:c r="D76" s="18"/>
      <x:c r="E76" s="18"/>
      <x:c r="F76" s="18"/>
      <x:c r="G76" s="18"/>
      <x:c r="H76" s="18"/>
      <x:c r="I76" s="18"/>
      <x:c r="J76" s="22"/>
      <x:c r="K76" s="22"/>
      <x:c r="L76" s="18"/>
      <x:c r="M76" s="18"/>
      <x:c r="N76" s="18"/>
      <x:c r="O76" s="18"/>
      <x:c r="P76" s="18"/>
      <x:c r="Q76" s="18"/>
    </x:row>
    <x:row r="77" ht="30" customHeight="1">
      <x:c r="A77" s="22"/>
      <x:c r="B77" s="18"/>
      <x:c r="C77" s="18"/>
      <x:c r="D77" s="18"/>
      <x:c r="E77" s="18"/>
      <x:c r="F77" s="18"/>
      <x:c r="G77" s="18"/>
      <x:c r="H77" s="18"/>
      <x:c r="I77" s="18"/>
      <x:c r="J77" s="22"/>
      <x:c r="K77" s="22"/>
      <x:c r="L77" s="18"/>
      <x:c r="M77" s="18"/>
      <x:c r="N77" s="18"/>
      <x:c r="O77" s="18"/>
      <x:c r="P77" s="18"/>
      <x:c r="Q77" s="18"/>
    </x:row>
    <x:row r="78" ht="30" customHeight="1">
      <x:c r="A78" s="22"/>
      <x:c r="B78" s="18"/>
      <x:c r="C78" s="18"/>
      <x:c r="D78" s="18"/>
      <x:c r="E78" s="18"/>
      <x:c r="F78" s="18"/>
      <x:c r="G78" s="18"/>
      <x:c r="H78" s="18"/>
      <x:c r="I78" s="18"/>
      <x:c r="J78" s="22"/>
      <x:c r="K78" s="22"/>
      <x:c r="L78" s="18"/>
      <x:c r="M78" s="18"/>
      <x:c r="N78" s="18"/>
      <x:c r="O78" s="18"/>
      <x:c r="P78" s="18"/>
      <x:c r="Q78" s="18"/>
    </x:row>
    <x:row r="79" ht="30" customHeight="1">
      <x:c r="A79" s="22"/>
      <x:c r="B79" s="18"/>
      <x:c r="C79" s="18"/>
      <x:c r="D79" s="18"/>
      <x:c r="E79" s="18"/>
      <x:c r="F79" s="18"/>
      <x:c r="G79" s="18"/>
      <x:c r="H79" s="18"/>
      <x:c r="I79" s="18"/>
      <x:c r="J79" s="22"/>
      <x:c r="K79" s="22"/>
      <x:c r="L79" s="18"/>
      <x:c r="M79" s="18"/>
      <x:c r="N79" s="18"/>
      <x:c r="O79" s="18"/>
      <x:c r="P79" s="18"/>
      <x:c r="Q79" s="18"/>
    </x:row>
    <x:row r="80" ht="30" customHeight="1">
      <x:c r="A80" s="22"/>
      <x:c r="B80" s="18"/>
      <x:c r="C80" s="18"/>
      <x:c r="D80" s="18"/>
      <x:c r="E80" s="18"/>
      <x:c r="F80" s="18"/>
      <x:c r="G80" s="18"/>
      <x:c r="H80" s="18"/>
      <x:c r="I80" s="18"/>
      <x:c r="J80" s="22"/>
      <x:c r="K80" s="22"/>
      <x:c r="L80" s="18"/>
      <x:c r="M80" s="18"/>
      <x:c r="N80" s="18"/>
      <x:c r="O80" s="18"/>
      <x:c r="P80" s="18"/>
      <x:c r="Q80" s="18"/>
    </x:row>
    <x:row r="81" ht="30" customHeight="1">
      <x:c r="A81" s="22"/>
      <x:c r="B81" s="18"/>
      <x:c r="C81" s="18"/>
      <x:c r="D81" s="18"/>
      <x:c r="E81" s="18"/>
      <x:c r="F81" s="18"/>
      <x:c r="G81" s="18"/>
      <x:c r="H81" s="18"/>
      <x:c r="I81" s="18"/>
      <x:c r="J81" s="22"/>
      <x:c r="K81" s="22"/>
      <x:c r="L81" s="18"/>
      <x:c r="M81" s="18"/>
      <x:c r="N81" s="18"/>
      <x:c r="O81" s="18"/>
      <x:c r="P81" s="18"/>
      <x:c r="Q81" s="18"/>
    </x:row>
    <x:row r="82" ht="30" customHeight="1">
      <x:c r="A82" s="22"/>
      <x:c r="B82" s="18"/>
      <x:c r="C82" s="18"/>
      <x:c r="D82" s="18"/>
      <x:c r="E82" s="18"/>
      <x:c r="F82" s="18"/>
      <x:c r="G82" s="18"/>
      <x:c r="H82" s="18"/>
      <x:c r="I82" s="18"/>
      <x:c r="J82" s="22"/>
      <x:c r="K82" s="22"/>
      <x:c r="L82" s="18"/>
      <x:c r="M82" s="18"/>
      <x:c r="N82" s="18"/>
      <x:c r="O82" s="18"/>
      <x:c r="P82" s="18"/>
      <x:c r="Q82" s="18"/>
    </x:row>
    <x:row r="83" ht="30" customHeight="1">
      <x:c r="A83" s="22"/>
      <x:c r="B83" s="18"/>
      <x:c r="C83" s="18"/>
      <x:c r="D83" s="18"/>
      <x:c r="E83" s="18"/>
      <x:c r="F83" s="18"/>
      <x:c r="G83" s="18"/>
      <x:c r="H83" s="18"/>
      <x:c r="I83" s="18"/>
      <x:c r="J83" s="22"/>
      <x:c r="K83" s="22"/>
      <x:c r="L83" s="18"/>
      <x:c r="M83" s="18"/>
      <x:c r="N83" s="18"/>
      <x:c r="O83" s="18"/>
      <x:c r="P83" s="18"/>
      <x:c r="Q83" s="18"/>
    </x:row>
    <x:row r="84" ht="30" customHeight="1">
      <x:c r="A84" s="22"/>
      <x:c r="B84" s="18"/>
      <x:c r="C84" s="18"/>
      <x:c r="D84" s="18"/>
      <x:c r="E84" s="18"/>
      <x:c r="F84" s="18"/>
      <x:c r="G84" s="18"/>
      <x:c r="H84" s="18"/>
      <x:c r="I84" s="18"/>
      <x:c r="J84" s="22"/>
      <x:c r="K84" s="22"/>
      <x:c r="L84" s="18"/>
      <x:c r="M84" s="18"/>
      <x:c r="N84" s="18"/>
      <x:c r="O84" s="18"/>
      <x:c r="P84" s="18"/>
      <x:c r="Q84" s="18"/>
    </x:row>
    <x:row r="85" ht="30" customHeight="1">
      <x:c r="A85" s="22"/>
      <x:c r="B85" s="18"/>
      <x:c r="C85" s="18"/>
      <x:c r="D85" s="18"/>
      <x:c r="E85" s="18"/>
      <x:c r="F85" s="18"/>
      <x:c r="G85" s="18"/>
      <x:c r="H85" s="18"/>
      <x:c r="I85" s="18"/>
      <x:c r="J85" s="22"/>
      <x:c r="K85" s="22"/>
      <x:c r="L85" s="18"/>
      <x:c r="M85" s="18"/>
      <x:c r="N85" s="18"/>
      <x:c r="O85" s="18"/>
      <x:c r="P85" s="18"/>
      <x:c r="Q85" s="18"/>
    </x:row>
    <x:row r="86" ht="30" customHeight="1">
      <x:c r="A86" s="22"/>
      <x:c r="B86" s="18"/>
      <x:c r="C86" s="18"/>
      <x:c r="D86" s="18"/>
      <x:c r="E86" s="18"/>
      <x:c r="F86" s="18"/>
      <x:c r="G86" s="18"/>
      <x:c r="H86" s="18"/>
      <x:c r="I86" s="18"/>
      <x:c r="J86" s="22"/>
      <x:c r="K86" s="22"/>
      <x:c r="L86" s="18"/>
      <x:c r="M86" s="18"/>
      <x:c r="N86" s="18"/>
      <x:c r="O86" s="18"/>
      <x:c r="P86" s="18"/>
      <x:c r="Q86" s="18"/>
    </x:row>
    <x:row r="87" ht="30" customHeight="1">
      <x:c r="A87" s="22"/>
      <x:c r="B87" s="18"/>
      <x:c r="C87" s="18"/>
      <x:c r="D87" s="18"/>
      <x:c r="E87" s="18"/>
      <x:c r="F87" s="18"/>
      <x:c r="G87" s="18"/>
      <x:c r="H87" s="18"/>
      <x:c r="I87" s="18"/>
      <x:c r="J87" s="22"/>
      <x:c r="K87" s="22"/>
      <x:c r="L87" s="18"/>
      <x:c r="M87" s="18"/>
      <x:c r="N87" s="18"/>
      <x:c r="O87" s="18"/>
      <x:c r="P87" s="18"/>
      <x:c r="Q87" s="18"/>
    </x:row>
    <x:row r="88" ht="30" customHeight="1">
      <x:c r="A88" s="22"/>
      <x:c r="B88" s="18"/>
      <x:c r="C88" s="18"/>
      <x:c r="D88" s="18"/>
      <x:c r="E88" s="18"/>
      <x:c r="F88" s="18"/>
      <x:c r="G88" s="18"/>
      <x:c r="H88" s="18"/>
      <x:c r="I88" s="18"/>
      <x:c r="J88" s="22"/>
      <x:c r="K88" s="22"/>
      <x:c r="L88" s="18"/>
      <x:c r="M88" s="18"/>
      <x:c r="N88" s="18"/>
      <x:c r="O88" s="18"/>
      <x:c r="P88" s="18"/>
      <x:c r="Q88" s="18"/>
    </x:row>
    <x:row r="89" ht="30" customHeight="1">
      <x:c r="A89" s="22"/>
      <x:c r="B89" s="18"/>
      <x:c r="C89" s="18"/>
      <x:c r="D89" s="18"/>
      <x:c r="E89" s="18"/>
      <x:c r="F89" s="18"/>
      <x:c r="G89" s="18"/>
      <x:c r="H89" s="18"/>
      <x:c r="I89" s="18"/>
      <x:c r="J89" s="22"/>
      <x:c r="K89" s="22"/>
      <x:c r="L89" s="18"/>
      <x:c r="M89" s="18"/>
      <x:c r="N89" s="18"/>
      <x:c r="O89" s="18"/>
      <x:c r="P89" s="18"/>
      <x:c r="Q89" s="18"/>
    </x:row>
    <x:row r="90" ht="30" customHeight="1">
      <x:c r="A90" s="22"/>
      <x:c r="B90" s="18"/>
      <x:c r="C90" s="18"/>
      <x:c r="D90" s="18"/>
      <x:c r="E90" s="18"/>
      <x:c r="F90" s="18"/>
      <x:c r="G90" s="18"/>
      <x:c r="H90" s="18"/>
      <x:c r="I90" s="18"/>
      <x:c r="J90" s="22"/>
      <x:c r="K90" s="22"/>
      <x:c r="L90" s="18"/>
      <x:c r="M90" s="18"/>
      <x:c r="N90" s="18"/>
      <x:c r="O90" s="18"/>
      <x:c r="P90" s="18"/>
      <x:c r="Q90" s="18"/>
    </x:row>
    <x:row r="91" ht="30" customHeight="1">
      <x:c r="A91" s="22"/>
      <x:c r="B91" s="18"/>
      <x:c r="C91" s="18"/>
      <x:c r="D91" s="18"/>
      <x:c r="E91" s="18"/>
      <x:c r="F91" s="18"/>
      <x:c r="G91" s="18"/>
      <x:c r="H91" s="18"/>
      <x:c r="I91" s="18"/>
      <x:c r="J91" s="22"/>
      <x:c r="K91" s="22"/>
      <x:c r="L91" s="18"/>
      <x:c r="M91" s="18"/>
      <x:c r="N91" s="18"/>
      <x:c r="O91" s="18"/>
      <x:c r="P91" s="18"/>
      <x:c r="Q91" s="18"/>
    </x:row>
    <x:row r="92" ht="30" customHeight="1">
      <x:c r="A92" s="22"/>
      <x:c r="B92" s="18"/>
      <x:c r="C92" s="18"/>
      <x:c r="D92" s="18"/>
      <x:c r="E92" s="18"/>
      <x:c r="F92" s="18"/>
      <x:c r="G92" s="18"/>
      <x:c r="H92" s="18"/>
      <x:c r="I92" s="18"/>
      <x:c r="J92" s="22"/>
      <x:c r="K92" s="22"/>
      <x:c r="L92" s="18"/>
      <x:c r="M92" s="18"/>
      <x:c r="N92" s="18"/>
      <x:c r="O92" s="18"/>
      <x:c r="P92" s="18"/>
      <x:c r="Q92" s="18"/>
    </x:row>
    <x:row r="93" ht="30" customHeight="1">
      <x:c r="A93" s="22"/>
      <x:c r="B93" s="18"/>
      <x:c r="C93" s="18"/>
      <x:c r="D93" s="18"/>
      <x:c r="E93" s="18"/>
      <x:c r="F93" s="18"/>
      <x:c r="G93" s="18"/>
      <x:c r="H93" s="18"/>
      <x:c r="I93" s="18"/>
      <x:c r="J93" s="22"/>
      <x:c r="K93" s="22"/>
      <x:c r="L93" s="18"/>
      <x:c r="M93" s="18"/>
      <x:c r="N93" s="18"/>
      <x:c r="O93" s="18"/>
      <x:c r="P93" s="18"/>
      <x:c r="Q93" s="18"/>
    </x:row>
    <x:row r="94" ht="30" customHeight="1">
      <x:c r="A94" s="22"/>
      <x:c r="B94" s="18"/>
      <x:c r="C94" s="18"/>
      <x:c r="D94" s="18"/>
      <x:c r="E94" s="18"/>
      <x:c r="F94" s="18"/>
      <x:c r="G94" s="18"/>
      <x:c r="H94" s="18"/>
      <x:c r="I94" s="18"/>
      <x:c r="J94" s="22"/>
      <x:c r="K94" s="22"/>
      <x:c r="L94" s="18"/>
      <x:c r="M94" s="18"/>
      <x:c r="N94" s="18"/>
      <x:c r="O94" s="18"/>
      <x:c r="P94" s="18"/>
      <x:c r="Q94" s="18"/>
    </x:row>
    <x:row r="95" ht="30" customHeight="1">
      <x:c r="A95" s="22"/>
      <x:c r="B95" s="18"/>
      <x:c r="C95" s="18"/>
      <x:c r="D95" s="18"/>
      <x:c r="E95" s="18"/>
      <x:c r="F95" s="18"/>
      <x:c r="G95" s="18"/>
      <x:c r="H95" s="18"/>
      <x:c r="I95" s="18"/>
      <x:c r="J95" s="22"/>
      <x:c r="K95" s="22"/>
      <x:c r="L95" s="18"/>
      <x:c r="M95" s="18"/>
      <x:c r="N95" s="18"/>
      <x:c r="O95" s="18"/>
      <x:c r="P95" s="18"/>
      <x:c r="Q95" s="18"/>
    </x:row>
    <x:row r="96" ht="30" customHeight="1">
      <x:c r="A96" s="22"/>
      <x:c r="B96" s="18"/>
      <x:c r="C96" s="18"/>
      <x:c r="D96" s="18"/>
      <x:c r="E96" s="18"/>
      <x:c r="F96" s="18"/>
      <x:c r="G96" s="18"/>
      <x:c r="H96" s="18"/>
      <x:c r="I96" s="18"/>
      <x:c r="J96" s="22"/>
      <x:c r="K96" s="22"/>
      <x:c r="L96" s="18"/>
      <x:c r="M96" s="18"/>
      <x:c r="N96" s="18"/>
      <x:c r="O96" s="18"/>
      <x:c r="P96" s="18"/>
      <x:c r="Q96" s="18"/>
    </x:row>
    <x:row r="97" ht="30" customHeight="1">
      <x:c r="A97" s="22"/>
      <x:c r="B97" s="18"/>
      <x:c r="C97" s="18"/>
      <x:c r="D97" s="18"/>
      <x:c r="E97" s="18"/>
      <x:c r="F97" s="18"/>
      <x:c r="G97" s="18"/>
      <x:c r="H97" s="18"/>
      <x:c r="I97" s="18"/>
      <x:c r="J97" s="22"/>
      <x:c r="K97" s="22"/>
      <x:c r="L97" s="18"/>
      <x:c r="M97" s="18"/>
      <x:c r="N97" s="18"/>
      <x:c r="O97" s="18"/>
      <x:c r="P97" s="18"/>
      <x:c r="Q97" s="18"/>
    </x:row>
    <x:row r="98" ht="30" customHeight="1">
      <x:c r="A98" s="22"/>
      <x:c r="B98" s="18"/>
      <x:c r="C98" s="18"/>
      <x:c r="D98" s="18"/>
      <x:c r="E98" s="18"/>
      <x:c r="F98" s="18"/>
      <x:c r="G98" s="18"/>
      <x:c r="H98" s="18"/>
      <x:c r="I98" s="18"/>
      <x:c r="J98" s="22"/>
      <x:c r="K98" s="22"/>
      <x:c r="L98" s="18"/>
      <x:c r="M98" s="18"/>
      <x:c r="N98" s="18"/>
      <x:c r="O98" s="18"/>
      <x:c r="P98" s="18"/>
      <x:c r="Q98" s="18"/>
    </x:row>
    <x:row r="99" ht="30" customHeight="1">
      <x:c r="A99" s="22"/>
      <x:c r="B99" s="18"/>
      <x:c r="C99" s="18"/>
      <x:c r="D99" s="18"/>
      <x:c r="E99" s="18"/>
      <x:c r="F99" s="18"/>
      <x:c r="G99" s="18"/>
      <x:c r="H99" s="18"/>
      <x:c r="I99" s="18"/>
      <x:c r="J99" s="22"/>
      <x:c r="K99" s="22"/>
      <x:c r="L99" s="18"/>
      <x:c r="M99" s="18"/>
      <x:c r="N99" s="18"/>
      <x:c r="O99" s="18"/>
      <x:c r="P99" s="18"/>
      <x:c r="Q99" s="18"/>
    </x:row>
    <x:row r="100" ht="30" customHeight="1">
      <x:c r="A100" s="22"/>
      <x:c r="B100" s="18"/>
      <x:c r="C100" s="18"/>
      <x:c r="D100" s="18"/>
      <x:c r="E100" s="18"/>
      <x:c r="F100" s="18"/>
      <x:c r="G100" s="18"/>
      <x:c r="H100" s="18"/>
      <x:c r="I100" s="18"/>
      <x:c r="J100" s="22"/>
      <x:c r="K100" s="22"/>
      <x:c r="L100" s="18"/>
      <x:c r="M100" s="18"/>
      <x:c r="N100" s="18"/>
      <x:c r="O100" s="18"/>
      <x:c r="P100" s="18"/>
      <x:c r="Q100" s="18"/>
    </x:row>
    <x:row r="101" ht="30" customHeight="1">
      <x:c r="A101" s="22"/>
      <x:c r="B101" s="18"/>
      <x:c r="C101" s="18"/>
      <x:c r="D101" s="18"/>
      <x:c r="E101" s="18"/>
      <x:c r="F101" s="18"/>
      <x:c r="G101" s="18"/>
      <x:c r="H101" s="18"/>
      <x:c r="I101" s="18"/>
      <x:c r="J101" s="22"/>
      <x:c r="K101" s="22"/>
      <x:c r="L101" s="18"/>
      <x:c r="M101" s="18"/>
      <x:c r="N101" s="18"/>
      <x:c r="O101" s="18"/>
      <x:c r="P101" s="18"/>
      <x:c r="Q101" s="18"/>
    </x:row>
    <x:row r="102" ht="30" customHeight="1">
      <x:c r="A102" s="22"/>
      <x:c r="B102" s="18"/>
      <x:c r="C102" s="18"/>
      <x:c r="D102" s="18"/>
      <x:c r="E102" s="18"/>
      <x:c r="F102" s="18"/>
      <x:c r="G102" s="18"/>
      <x:c r="H102" s="18"/>
      <x:c r="I102" s="18"/>
      <x:c r="J102" s="22"/>
      <x:c r="K102" s="22"/>
      <x:c r="L102" s="18"/>
      <x:c r="M102" s="18"/>
      <x:c r="N102" s="18"/>
      <x:c r="O102" s="18"/>
      <x:c r="P102" s="18"/>
      <x:c r="Q102" s="18"/>
    </x:row>
    <x:row r="103" ht="30" customHeight="1">
      <x:c r="A103" s="22"/>
      <x:c r="B103" s="18"/>
      <x:c r="C103" s="18"/>
      <x:c r="D103" s="18"/>
      <x:c r="E103" s="18"/>
      <x:c r="F103" s="18"/>
      <x:c r="G103" s="18"/>
      <x:c r="H103" s="18"/>
      <x:c r="I103" s="18"/>
      <x:c r="J103" s="22"/>
      <x:c r="K103" s="22"/>
      <x:c r="L103" s="18"/>
      <x:c r="M103" s="18"/>
      <x:c r="N103" s="18"/>
      <x:c r="O103" s="18"/>
      <x:c r="P103" s="18"/>
      <x:c r="Q103" s="18"/>
    </x:row>
    <x:row r="104" ht="30" customHeight="1">
      <x:c r="A104" s="22"/>
      <x:c r="B104" s="18"/>
      <x:c r="C104" s="18"/>
      <x:c r="D104" s="18"/>
      <x:c r="E104" s="18"/>
      <x:c r="F104" s="18"/>
      <x:c r="G104" s="18"/>
      <x:c r="H104" s="18"/>
      <x:c r="I104" s="18"/>
      <x:c r="J104" s="22"/>
      <x:c r="K104" s="22"/>
      <x:c r="L104" s="18"/>
      <x:c r="M104" s="18"/>
      <x:c r="N104" s="18"/>
      <x:c r="O104" s="18"/>
      <x:c r="P104" s="18"/>
      <x:c r="Q104" s="18"/>
    </x:row>
    <x:row r="105" ht="30" customHeight="1">
      <x:c r="A105" s="22"/>
      <x:c r="B105" s="18"/>
      <x:c r="C105" s="18"/>
      <x:c r="D105" s="18"/>
      <x:c r="E105" s="18"/>
      <x:c r="F105" s="18"/>
      <x:c r="G105" s="18"/>
      <x:c r="H105" s="18"/>
      <x:c r="I105" s="18"/>
      <x:c r="J105" s="22"/>
      <x:c r="K105" s="22"/>
      <x:c r="L105" s="18"/>
      <x:c r="M105" s="18"/>
      <x:c r="N105" s="18"/>
      <x:c r="O105" s="18"/>
      <x:c r="P105" s="18"/>
      <x:c r="Q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8c576839c5104c1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3" hidden="0" customWidth="1"/>
    <x:col min="5" max="5" width="18" hidden="0" customWidth="1"/>
    <x:col min="6" max="6" width="18" hidden="0" customWidth="1"/>
    <x:col min="7" max="7" width="38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8" hidden="0" customWidth="1"/>
  </x:cols>
  <x:sheetData>
    <x:row r="1" ht="34" customHeight="1">
      <x:c r="A1" s="3" t="str">
        <x:v>CONTENT REVIEW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Evidence-led editing. Punctuation cleanup is stylistic; preserve medical accuracy, local facts and real approval.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review_id</x:v>
      </x:c>
      <x:c r="B5" s="12" t="str">
        <x:v>url_id</x:v>
      </x:c>
      <x:c r="C5" s="12" t="str">
        <x:v>target_country</x:v>
      </x:c>
      <x:c r="D5" s="12" t="str">
        <x:v>language</x:v>
      </x:c>
      <x:c r="E5" s="12" t="str">
        <x:v>entity_source</x:v>
      </x:c>
      <x:c r="F5" s="12" t="str">
        <x:v>issue</x:v>
      </x:c>
      <x:c r="G5" s="12" t="str">
        <x:v>current_excerpt</x:v>
      </x:c>
      <x:c r="H5" s="12" t="str">
        <x:v>recommended_action</x:v>
      </x:c>
      <x:c r="I5" s="12" t="str">
        <x:v>factual_source</x:v>
      </x:c>
      <x:c r="J5" s="12" t="str">
        <x:v>clinical_review_status</x:v>
      </x:c>
      <x:c r="K5" s="12" t="str">
        <x:v>native_editor_status</x:v>
      </x:c>
      <x:c r="L5" s="12" t="str">
        <x:v>copy_approval_status</x:v>
      </x:c>
      <x:c r="M5" s="12" t="str">
        <x:v>approved_copy_hash</x:v>
      </x:c>
      <x:c r="N5" s="12" t="str">
        <x:v>owner</x:v>
      </x:c>
      <x:c r="O5" s="12" t="str">
        <x:v>evidence</x:v>
      </x:c>
    </x:row>
    <x:row r="6" ht="85" customHeight="1">
      <x:c r="A6" s="18" t="str">
        <x:v>COPY-001</x:v>
      </x:c>
      <x:c r="B6" s="18" t="str">
        <x:v>HOME-IE</x:v>
      </x:c>
      <x:c r="C6" s="18" t="str">
        <x:v>Ireland</x:v>
      </x:c>
      <x:c r="D6" s="18" t="str">
        <x:v>en</x:v>
      </x:c>
      <x:c r="E6" s="18" t="str">
        <x:v>Homepage components / country content; trace required</x:v>
      </x:c>
      <x:c r="F6" s="18" t="str">
        <x:v>Consultation language count may be inconsistent</x:v>
      </x:c>
      <x:c r="G6" s="18" t="str">
        <x:v>Page shows 13 consultation languages; FAQ lists six.</x:v>
      </x:c>
      <x:c r="H6" s="18" t="str">
        <x:v>Verify actual clinician-language availability and distinguish site language from consultation language before rewriting.</x:v>
      </x:c>
      <x:c r="I6" s="18"/>
      <x:c r="J6" s="18" t="str">
        <x:v>Not assessed</x:v>
      </x:c>
      <x:c r="K6" s="18" t="str">
        <x:v>Not assessed</x:v>
      </x:c>
      <x:c r="L6" s="18" t="str">
        <x:v>Not approved</x:v>
      </x:c>
      <x:c r="M6" s="18"/>
      <x:c r="N6" s="18"/>
      <x:c r="O6" s="18" t="str">
        <x:v>https://www.myglobalhealth.online/ireland/en</x:v>
      </x:c>
    </x:row>
    <x:row r="7" ht="30" customHeight="1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</x:row>
    <x:row r="8" ht="3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cd6b6b4bef6c4c0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 ht="34" customHeight="1">
      <x:c r="A1" s="3" t="str">
        <x:v>PSEO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Ideas are research hypotheses, not approved pages. Avoid blanket country × city × condition generation.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candidate_id</x:v>
      </x:c>
      <x:c r="B5" s="12" t="str">
        <x:v>target_market</x:v>
      </x:c>
      <x:c r="C5" s="12" t="str">
        <x:v>locale_scope</x:v>
      </x:c>
      <x:c r="D5" s="12" t="str">
        <x:v>proposed_page_family</x:v>
      </x:c>
      <x:c r="E5" s="12" t="str">
        <x:v>existing_inventory_check</x:v>
      </x:c>
      <x:c r="F5" s="12" t="str">
        <x:v>validated_demand</x:v>
      </x:c>
      <x:c r="G5" s="12" t="str">
        <x:v>unique_data_available</x:v>
      </x:c>
      <x:c r="H5" s="12" t="str">
        <x:v>local_usefulness</x:v>
      </x:c>
      <x:c r="I5" s="12" t="str">
        <x:v>clinical_gate</x:v>
      </x:c>
      <x:c r="J5" s="12" t="str">
        <x:v>duplicate_risk</x:v>
      </x:c>
      <x:c r="K5" s="12" t="str">
        <x:v>launch_decision</x:v>
      </x:c>
      <x:c r="L5" s="12" t="str">
        <x:v>success_metric</x:v>
      </x:c>
      <x:c r="M5" s="12" t="str">
        <x:v>owner</x:v>
      </x:c>
      <x:c r="N5" s="12" t="str">
        <x:v>evidence</x:v>
      </x:c>
    </x:row>
    <x:row r="6" ht="75" customHeight="1">
      <x:c r="A6" s="18" t="str">
        <x:v>PSEO-001</x:v>
      </x:c>
      <x:c r="B6" s="18" t="str">
        <x:v>All six</x:v>
      </x:c>
      <x:c r="C6" s="18" t="str">
        <x:v>Eligible locales only</x:v>
      </x:c>
      <x:c r="D6" s="18" t="str">
        <x:v>Improve existing service × market × language pages</x:v>
      </x:c>
      <x:c r="E6" s="18" t="str">
        <x:v>Required</x:v>
      </x:c>
      <x:c r="F6" s="18" t="str">
        <x:v>Unverified</x:v>
      </x:c>
      <x:c r="G6" s="18" t="str">
        <x:v>Audit catalogue first</x:v>
      </x:c>
      <x:c r="H6" s="18" t="str">
        <x:v>Verify</x:v>
      </x:c>
      <x:c r="I6" s="18" t="str">
        <x:v>Required where clinical</x:v>
      </x:c>
      <x:c r="J6" s="18" t="str">
        <x:v>Audit</x:v>
      </x:c>
      <x:c r="K6" s="18" t="str">
        <x:v>Research only</x:v>
      </x:c>
      <x:c r="L6" s="18" t="str">
        <x:v>Qualified organic sessions / validated bookings</x:v>
      </x:c>
      <x:c r="M6" s="18"/>
      <x:c r="N6" s="18" t="str">
        <x:v>https://github.com/myglobalhealthonline/global-health-website/blob/main/docs/plans/seo-control-state.md</x:v>
      </x:c>
    </x:row>
    <x:row r="7" ht="75" customHeight="1">
      <x:c r="A7" s="18" t="str">
        <x:v>PSEO-002</x:v>
      </x:c>
      <x:c r="B7" s="18" t="str">
        <x:v>All six</x:v>
      </x:c>
      <x:c r="C7" s="18" t="str">
        <x:v>Eligible locales only</x:v>
      </x:c>
      <x:c r="D7" s="18" t="str">
        <x:v>Existing tools and useful local explanatory content</x:v>
      </x:c>
      <x:c r="E7" s="18" t="str">
        <x:v>Required</x:v>
      </x:c>
      <x:c r="F7" s="18" t="str">
        <x:v>Unverified</x:v>
      </x:c>
      <x:c r="G7" s="18" t="str">
        <x:v>Verify formulas and official sources</x:v>
      </x:c>
      <x:c r="H7" s="18" t="str">
        <x:v>Verify</x:v>
      </x:c>
      <x:c r="I7" s="18" t="str">
        <x:v>Required where clinical</x:v>
      </x:c>
      <x:c r="J7" s="18" t="str">
        <x:v>Audit</x:v>
      </x:c>
      <x:c r="K7" s="18" t="str">
        <x:v>Research only</x:v>
      </x:c>
      <x:c r="L7" s="18" t="str">
        <x:v>Useful engagement + relevant service discovery</x:v>
      </x:c>
      <x:c r="M7" s="18"/>
      <x:c r="N7" s="18" t="str">
        <x:v>https://github.com/myglobalhealthonline/global-health-website/blob/main/docs/plans/seo-control-state.md</x:v>
      </x:c>
    </x:row>
    <x:row r="8" ht="75" customHeight="1">
      <x:c r="A8" s="18" t="str">
        <x:v>PSEO-003</x:v>
      </x:c>
      <x:c r="B8" s="18" t="str">
        <x:v>Evidence-selected markets</x:v>
      </x:c>
      <x:c r="C8" s="18" t="str">
        <x:v>Native reviewed variants</x:v>
      </x:c>
      <x:c r="D8" s="18" t="str">
        <x:v>New intent gaps not already covered</x:v>
      </x:c>
      <x:c r="E8" s="18" t="str">
        <x:v>Required</x:v>
      </x:c>
      <x:c r="F8" s="18" t="str">
        <x:v>Unverified</x:v>
      </x:c>
      <x:c r="G8" s="18" t="str">
        <x:v>Must be original and reliable</x:v>
      </x:c>
      <x:c r="H8" s="18" t="str">
        <x:v>Verify</x:v>
      </x:c>
      <x:c r="I8" s="18" t="str">
        <x:v>Follow existing gate</x:v>
      </x:c>
      <x:c r="J8" s="18" t="str">
        <x:v>High until checked</x:v>
      </x:c>
      <x:c r="K8" s="18" t="str">
        <x:v>Do not publish yet</x:v>
      </x:c>
      <x:c r="L8" s="18" t="str">
        <x:v>Predeclared cohort result after indexation</x:v>
      </x:c>
      <x:c r="M8" s="18"/>
      <x:c r="N8" s="18" t="str">
        <x:v>https://developers.google.com/search/docs/essentials/spam-policies</x:v>
      </x:c>
    </x:row>
    <x:row r="9" ht="3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 ht="3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 ht="3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a0a165cbd45144f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 ht="34" customHeight="1">
      <x:c r="A1" s="3" t="str">
        <x:v>MIGRATION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Seed mappings are candidates for testing, not evidence that redirects currently work. Reconstruct the entire Wix inventory.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legacy_url</x:v>
      </x:c>
      <x:c r="B5" s="12" t="str">
        <x:v>proposed_or_documented_target</x:v>
      </x:c>
      <x:c r="C5" s="12" t="str">
        <x:v>target_country</x:v>
      </x:c>
      <x:c r="D5" s="12" t="str">
        <x:v>language</x:v>
      </x:c>
      <x:c r="E5" s="12" t="str">
        <x:v>mapping_source</x:v>
      </x:c>
      <x:c r="F5" s="12" t="str">
        <x:v>historical_clicks</x:v>
      </x:c>
      <x:c r="G5" s="12" t="str">
        <x:v>referring_domains</x:v>
      </x:c>
      <x:c r="H5" s="12" t="str">
        <x:v>observed_status</x:v>
      </x:c>
      <x:c r="I5" s="12" t="str">
        <x:v>redirect_hops</x:v>
      </x:c>
      <x:c r="J5" s="12" t="str">
        <x:v>final_url</x:v>
      </x:c>
      <x:c r="K5" s="12" t="str">
        <x:v>content_equivalence</x:v>
      </x:c>
      <x:c r="L5" s="12" t="str">
        <x:v>approved_retirement</x:v>
      </x:c>
      <x:c r="M5" s="12" t="str">
        <x:v>test_status</x:v>
      </x:c>
      <x:c r="N5" s="12" t="str">
        <x:v>evidence</x:v>
      </x:c>
    </x:row>
    <x:row r="6" ht="65" customHeight="1">
      <x:c r="A6" s="18" t="str">
        <x:v>https://myglobalhealth.online/home</x:v>
      </x:c>
      <x:c r="B6" s="18" t="str">
        <x:v>https://myglobalhealth.online/ireland/en</x:v>
      </x:c>
      <x:c r="C6" s="18" t="str">
        <x:v>Ireland</x:v>
      </x:c>
      <x:c r="D6" s="18" t="str">
        <x:v>en</x:v>
      </x:c>
      <x:c r="E6" s="18" t="str">
        <x:v>Configured legacyHomePath; target from SEO README</x:v>
      </x:c>
      <x:c r="F6" s="18"/>
      <x:c r="G6" s="18"/>
      <x:c r="H6" s="18"/>
      <x:c r="I6" s="18"/>
      <x:c r="J6" s="18"/>
      <x:c r="K6" s="18" t="str">
        <x:v>Not checked</x:v>
      </x:c>
      <x:c r="L6" s="18"/>
      <x:c r="M6" s="18" t="str">
        <x:v>Not tested</x:v>
      </x:c>
      <x:c r="N6" s="18" t="str">
        <x:v>https://github.com/myglobalhealthonline/global-health-website/blob/main/frontend/data/countries.ts</x:v>
      </x:c>
    </x:row>
    <x:row r="7" ht="65" customHeight="1">
      <x:c r="A7" s="18" t="str">
        <x:v>https://myglobalhealth.online/home-cz</x:v>
      </x:c>
      <x:c r="B7" s="18" t="str">
        <x:v>https://myglobalhealth.online/czechia/cs</x:v>
      </x:c>
      <x:c r="C7" s="18" t="str">
        <x:v>Czechia</x:v>
      </x:c>
      <x:c r="D7" s="18" t="str">
        <x:v>cs</x:v>
      </x:c>
      <x:c r="E7" s="18" t="str">
        <x:v>Configured legacyHomePath; target from SEO README</x:v>
      </x:c>
      <x:c r="F7" s="18"/>
      <x:c r="G7" s="18"/>
      <x:c r="H7" s="18"/>
      <x:c r="I7" s="18"/>
      <x:c r="J7" s="18"/>
      <x:c r="K7" s="18" t="str">
        <x:v>Not checked</x:v>
      </x:c>
      <x:c r="L7" s="18"/>
      <x:c r="M7" s="18" t="str">
        <x:v>Not tested</x:v>
      </x:c>
      <x:c r="N7" s="18" t="str">
        <x:v>https://github.com/myglobalhealthonline/global-health-website/blob/main/frontend/data/countries.ts</x:v>
      </x:c>
    </x:row>
    <x:row r="8" ht="65" customHeight="1">
      <x:c r="A8" s="18" t="str">
        <x:v>https://myglobalhealth.online/home-pt</x:v>
      </x:c>
      <x:c r="B8" s="18" t="str">
        <x:v>https://myglobalhealth.online/portugal/pt</x:v>
      </x:c>
      <x:c r="C8" s="18" t="str">
        <x:v>Portugal</x:v>
      </x:c>
      <x:c r="D8" s="18" t="str">
        <x:v>pt</x:v>
      </x:c>
      <x:c r="E8" s="18" t="str">
        <x:v>Configured legacyHomePath; target from SEO README</x:v>
      </x:c>
      <x:c r="F8" s="18"/>
      <x:c r="G8" s="18"/>
      <x:c r="H8" s="18"/>
      <x:c r="I8" s="18"/>
      <x:c r="J8" s="18"/>
      <x:c r="K8" s="18" t="str">
        <x:v>Not checked</x:v>
      </x:c>
      <x:c r="L8" s="18"/>
      <x:c r="M8" s="18" t="str">
        <x:v>Not tested</x:v>
      </x:c>
      <x:c r="N8" s="18" t="str">
        <x:v>https://github.com/myglobalhealthonline/global-health-website/blob/main/frontend/data/countries.ts</x:v>
      </x:c>
    </x:row>
    <x:row r="9" ht="65" customHeight="1">
      <x:c r="A9" s="18" t="str">
        <x:v>https://myglobalhealth.online/home-sp</x:v>
      </x:c>
      <x:c r="B9" s="18" t="str">
        <x:v>https://myglobalhealth.online/spain/es</x:v>
      </x:c>
      <x:c r="C9" s="18" t="str">
        <x:v>Spain</x:v>
      </x:c>
      <x:c r="D9" s="18" t="str">
        <x:v>es</x:v>
      </x:c>
      <x:c r="E9" s="18" t="str">
        <x:v>Configured legacyHomePath; target from SEO README</x:v>
      </x:c>
      <x:c r="F9" s="18"/>
      <x:c r="G9" s="18"/>
      <x:c r="H9" s="18"/>
      <x:c r="I9" s="18"/>
      <x:c r="J9" s="18"/>
      <x:c r="K9" s="18" t="str">
        <x:v>Not checked</x:v>
      </x:c>
      <x:c r="L9" s="18"/>
      <x:c r="M9" s="18" t="str">
        <x:v>Not tested</x:v>
      </x:c>
      <x:c r="N9" s="18" t="str">
        <x:v>https://github.com/myglobalhealthonline/global-health-website/blob/main/frontend/data/countries.ts</x:v>
      </x:c>
    </x:row>
    <x:row r="10" ht="65" customHeight="1">
      <x:c r="A10" s="18" t="str">
        <x:v>https://myglobalhealth.online/home-rm</x:v>
      </x:c>
      <x:c r="B10" s="18" t="str">
        <x:v>https://myglobalhealth.online/romania/ro</x:v>
      </x:c>
      <x:c r="C10" s="18" t="str">
        <x:v>Romania</x:v>
      </x:c>
      <x:c r="D10" s="18" t="str">
        <x:v>ro</x:v>
      </x:c>
      <x:c r="E10" s="18" t="str">
        <x:v>Configured legacyHomePath; target from SEO README</x:v>
      </x:c>
      <x:c r="F10" s="18"/>
      <x:c r="G10" s="18"/>
      <x:c r="H10" s="18"/>
      <x:c r="I10" s="18"/>
      <x:c r="J10" s="18"/>
      <x:c r="K10" s="18" t="str">
        <x:v>Not checked</x:v>
      </x:c>
      <x:c r="L10" s="18"/>
      <x:c r="M10" s="18" t="str">
        <x:v>Not tested</x:v>
      </x:c>
      <x:c r="N10" s="18" t="str">
        <x:v>https://github.com/myglobalhealthonline/global-health-website/blob/main/frontend/data/countries.ts</x:v>
      </x:c>
    </x:row>
    <x:row r="11" ht="65" customHeight="1">
      <x:c r="A11" s="18" t="str">
        <x:v>https://myglobalhealth.online/home-br</x:v>
      </x:c>
      <x:c r="B11" s="18" t="str">
        <x:v>https://myglobalhealth.online/brazil/pt</x:v>
      </x:c>
      <x:c r="C11" s="18" t="str">
        <x:v>Brazil</x:v>
      </x:c>
      <x:c r="D11" s="18" t="str">
        <x:v>pt</x:v>
      </x:c>
      <x:c r="E11" s="18" t="str">
        <x:v>Configured legacyHomePath; target from SEO README</x:v>
      </x:c>
      <x:c r="F11" s="18"/>
      <x:c r="G11" s="18"/>
      <x:c r="H11" s="18"/>
      <x:c r="I11" s="18"/>
      <x:c r="J11" s="18"/>
      <x:c r="K11" s="18" t="str">
        <x:v>Not checked</x:v>
      </x:c>
      <x:c r="L11" s="18"/>
      <x:c r="M11" s="18" t="str">
        <x:v>Not tested</x:v>
      </x:c>
      <x:c r="N11" s="18" t="str">
        <x:v>https://github.com/myglobalhealthonline/global-health-website/blob/main/frontend/data/countries.ts</x:v>
      </x:c>
    </x:row>
    <x:row r="12" ht="3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 ht="3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 ht="3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 ht="3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 ht="3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 ht="3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 ht="3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 ht="3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 ht="3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 ht="3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 ht="3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 ht="3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 ht="3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 ht="3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 ht="3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 ht="3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 ht="3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 ht="3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 ht="3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 ht="3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 ht="3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 ht="3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 ht="3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 ht="3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 ht="3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 ht="3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 ht="3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 ht="3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 ht="3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 ht="3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 ht="3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 ht="3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 ht="3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 ht="3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 ht="3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 ht="3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 ht="3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 ht="3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 ht="3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  <x:row r="51" ht="3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</x:row>
    <x:row r="52" ht="3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</x:row>
    <x:row r="53" ht="3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</x:row>
    <x:row r="54" ht="3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</x:row>
    <x:row r="55" ht="3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</x:row>
    <x:row r="56" ht="3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</x:row>
    <x:row r="57" ht="3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</x:row>
    <x:row r="58" ht="3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</x:row>
    <x:row r="59" ht="3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</x:row>
    <x:row r="60" ht="3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</x:row>
    <x:row r="61" ht="3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</x:row>
    <x:row r="62" ht="3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</x:row>
    <x:row r="63" ht="3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</x:row>
    <x:row r="64" ht="3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</x:row>
    <x:row r="65" ht="3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</x:row>
    <x:row r="66" ht="3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</x:row>
    <x:row r="67" ht="3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</x:row>
    <x:row r="68" ht="3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</x:row>
    <x:row r="69" ht="3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</x:row>
    <x:row r="70" ht="3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</x:row>
    <x:row r="71" ht="3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</x:row>
    <x:row r="72" ht="3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</x:row>
    <x:row r="73" ht="3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</x:row>
    <x:row r="74" ht="3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</x:row>
    <x:row r="75" ht="3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</x:row>
    <x:row r="76" ht="3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</x:row>
    <x:row r="77" ht="3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</x:row>
    <x:row r="78" ht="3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</x:row>
    <x:row r="79" ht="3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</x:row>
    <x:row r="80" ht="3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</x:row>
    <x:row r="81" ht="3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</x:row>
    <x:row r="82" ht="3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</x:row>
    <x:row r="83" ht="3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</x:row>
    <x:row r="84" ht="3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</x:row>
    <x:row r="85" ht="3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</x:row>
    <x:row r="86" ht="3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</x:row>
    <x:row r="87" ht="3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</x:row>
    <x:row r="88" ht="3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</x:row>
    <x:row r="89" ht="3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</x:row>
    <x:row r="90" ht="3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</x:row>
    <x:row r="91" ht="3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</x:row>
    <x:row r="92" ht="3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</x:row>
    <x:row r="93" ht="3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</x:row>
    <x:row r="94" ht="3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</x:row>
    <x:row r="95" ht="3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</x:row>
    <x:row r="96" ht="3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</x:row>
    <x:row r="97" ht="3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</x:row>
    <x:row r="98" ht="3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</x:row>
    <x:row r="99" ht="3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8f321dacab534ed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38" hidden="0" customWidth="1"/>
    <x:col min="7" max="7" width="38" hidden="0" customWidth="1"/>
    <x:col min="8" max="8" width="16" hidden="0" customWidth="1"/>
    <x:col min="9" max="9" width="38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8" hidden="0" customWidth="1"/>
    <x:col min="18" max="18" width="18" hidden="0" customWidth="1"/>
    <x:col min="19" max="19" width="16" hidden="0" customWidth="1"/>
    <x:col min="20" max="20" width="38" hidden="0" customWidth="1"/>
  </x:cols>
  <x:sheetData>
    <x:row r="1" ht="34" customHeight="1">
      <x:c r="A1" s="3" t="str">
        <x:v>ISSUES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Proposed queue, not a replacement ledger. P0 safety/indexing blockers override the heuristic score.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issue_id</x:v>
      </x:c>
      <x:c r="B5" s="12" t="str">
        <x:v>ledger_reference</x:v>
      </x:c>
      <x:c r="C5" s="12" t="str">
        <x:v>category</x:v>
      </x:c>
      <x:c r="D5" s="12" t="str">
        <x:v>target_country</x:v>
      </x:c>
      <x:c r="E5" s="12" t="str">
        <x:v>language</x:v>
      </x:c>
      <x:c r="F5" s="12" t="str">
        <x:v>url_id</x:v>
      </x:c>
      <x:c r="G5" s="12" t="str">
        <x:v>finding</x:v>
      </x:c>
      <x:c r="H5" s="12" t="str">
        <x:v>evidence_date</x:v>
      </x:c>
      <x:c r="I5" s="12" t="str">
        <x:v>evidence_type</x:v>
      </x:c>
      <x:c r="J5" s="12" t="str">
        <x:v>priority</x:v>
      </x:c>
      <x:c r="K5" s="12" t="str">
        <x:v>impact_1_5</x:v>
      </x:c>
      <x:c r="L5" s="12" t="str">
        <x:v>confidence_0_1</x:v>
      </x:c>
      <x:c r="M5" s="12" t="str">
        <x:v>effort_1_5</x:v>
      </x:c>
      <x:c r="N5" s="12" t="str">
        <x:v>priority_score</x:v>
      </x:c>
      <x:c r="O5" s="12" t="str">
        <x:v>status</x:v>
      </x:c>
      <x:c r="P5" s="12" t="str">
        <x:v>owner</x:v>
      </x:c>
      <x:c r="Q5" s="12" t="str">
        <x:v>next_action</x:v>
      </x:c>
      <x:c r="R5" s="12" t="str">
        <x:v>acceptance_test</x:v>
      </x:c>
      <x:c r="S5" s="12" t="str">
        <x:v>due_date</x:v>
      </x:c>
      <x:c r="T5" s="12" t="str">
        <x:v>evidence_url</x:v>
      </x:c>
    </x:row>
    <x:row r="6" ht="90" customHeight="1">
      <x:c r="A6" s="18" t="str">
        <x:v>DATA-001</x:v>
      </x:c>
      <x:c r="B6" s="18" t="str">
        <x:v>§47 / §49</x:v>
      </x:c>
      <x:c r="C6" s="18" t="str">
        <x:v>Measurement</x:v>
      </x:c>
      <x:c r="D6" s="18" t="str">
        <x:v>All</x:v>
      </x:c>
      <x:c r="E6" s="18" t="str">
        <x:v>All</x:v>
      </x:c>
      <x:c r="F6" s="18"/>
      <x:c r="G6" s="18" t="str">
        <x:v>Repo documents GA4 collection gap and 9 September repair</x:v>
      </x:c>
      <x:c r="H6" s="22" t="n">
        <x:v>46274</x:v>
      </x:c>
      <x:c r="I6" s="18" t="str">
        <x:v>Historical documented</x:v>
      </x:c>
      <x:c r="J6" s="18" t="str">
        <x:v>P1</x:v>
      </x:c>
      <x:c r="K6" s="18" t="n">
        <x:v>5</x:v>
      </x:c>
      <x:c r="L6" s="28" t="n">
        <x:v>0.9</x:v>
      </x:c>
      <x:c r="M6" s="18" t="n">
        <x:v>2</x:v>
      </x:c>
      <x:c r="N6" s="26" t="n">
        <x:f>IF(OR(K6="",L6="",M6=""),"",IFERROR(K6*L6/M6,""))</x:f>
        <x:v>2.25</x:v>
      </x:c>
      <x:c r="O6" s="18" t="str">
        <x:v>Needs recheck</x:v>
      </x:c>
      <x:c r="P6" s="18"/>
      <x:c r="Q6" s="18" t="str">
        <x:v>Reconfirm restored production collection and mark missing-history interval</x:v>
      </x:c>
      <x:c r="R6" s="18" t="str">
        <x:v>Correct stream; consented safe events arrive; gap dates documented</x:v>
      </x:c>
      <x:c r="S6" s="22"/>
      <x:c r="T6" s="18" t="str">
        <x:v>https://github.com/myglobalhealthonline/global-health-website/blob/main/docs/audits/seo/google-access-review-2026-09-09.md</x:v>
      </x:c>
    </x:row>
    <x:row r="7" ht="90" customHeight="1">
      <x:c r="A7" s="18" t="str">
        <x:v>DATA-002</x:v>
      </x:c>
      <x:c r="B7" s="18" t="str">
        <x:v>§49</x:v>
      </x:c>
      <x:c r="C7" s="18" t="str">
        <x:v>Integration</x:v>
      </x:c>
      <x:c r="D7" s="18" t="str">
        <x:v>All</x:v>
      </x:c>
      <x:c r="E7" s="18" t="str">
        <x:v>All</x:v>
      </x:c>
      <x:c r="F7" s="18"/>
      <x:c r="G7" s="18" t="str">
        <x:v>GSC–GA4 product link absent in 9 September review</x:v>
      </x:c>
      <x:c r="H7" s="22" t="n">
        <x:v>46274</x:v>
      </x:c>
      <x:c r="I7" s="18" t="str">
        <x:v>Historical documented</x:v>
      </x:c>
      <x:c r="J7" s="18" t="str">
        <x:v>P2</x:v>
      </x:c>
      <x:c r="K7" s="18" t="n">
        <x:v>2</x:v>
      </x:c>
      <x:c r="L7" s="28" t="n">
        <x:v>0.9</x:v>
      </x:c>
      <x:c r="M7" s="18" t="n">
        <x:v>2</x:v>
      </x:c>
      <x:c r="N7" s="26" t="n">
        <x:f>IF(OR(K7="",L7="",M7=""),"",IFERROR(K7*L7/M7,""))</x:f>
        <x:v>0.9</x:v>
      </x:c>
      <x:c r="O7" s="18" t="str">
        <x:v>Needs recheck</x:v>
      </x:c>
      <x:c r="P7" s="18"/>
      <x:c r="Q7" s="18" t="str">
        <x:v>Check present link status; propose linking only after approval</x:v>
      </x:c>
      <x:c r="R7" s="18" t="str">
        <x:v>Current property-link state evidenced; no claim it creates missing historical data</x:v>
      </x:c>
      <x:c r="S7" s="22"/>
      <x:c r="T7" s="18" t="str">
        <x:v>https://github.com/myglobalhealthonline/global-health-website/blob/main/docs/audits/seo/google-access-review-2026-09-09.md</x:v>
      </x:c>
    </x:row>
    <x:row r="8" ht="90" customHeight="1">
      <x:c r="A8" s="18" t="str">
        <x:v>COPY-001</x:v>
      </x:c>
      <x:c r="B8" s="18"/>
      <x:c r="C8" s="18" t="str">
        <x:v>Content</x:v>
      </x:c>
      <x:c r="D8" s="18" t="str">
        <x:v>Ireland</x:v>
      </x:c>
      <x:c r="E8" s="18" t="str">
        <x:v>en</x:v>
      </x:c>
      <x:c r="F8" s="18" t="str">
        <x:v>HOME-IE</x:v>
      </x:c>
      <x:c r="G8" s="18" t="str">
        <x:v>13 consultation languages shown versus six in FAQ</x:v>
      </x:c>
      <x:c r="H8" s="22" t="n">
        <x:v>46280</x:v>
      </x:c>
      <x:c r="I8" s="18" t="str">
        <x:v>Observed page text</x:v>
      </x:c>
      <x:c r="J8" s="18" t="str">
        <x:v>P2</x:v>
      </x:c>
      <x:c r="K8" s="18" t="n">
        <x:v>3</x:v>
      </x:c>
      <x:c r="L8" s="28" t="n">
        <x:v>0.8</x:v>
      </x:c>
      <x:c r="M8" s="18" t="n">
        <x:v>2</x:v>
      </x:c>
      <x:c r="N8" s="26" t="n">
        <x:f>IF(OR(K8="",L8="",M8=""),"",IFERROR(K8*L8/M8,""))</x:f>
        <x:v>1.2000000000000002</x:v>
      </x:c>
      <x:c r="O8" s="18" t="str">
        <x:v>Proposed</x:v>
      </x:c>
      <x:c r="P8" s="18"/>
      <x:c r="Q8" s="18" t="str">
        <x:v>Trace catalogue-derived count and FAQ source; verify scope</x:v>
      </x:c>
      <x:c r="R8" s="18" t="str">
        <x:v>Counts and wording agree with verified available consultation languages</x:v>
      </x:c>
      <x:c r="S8" s="22"/>
      <x:c r="T8" s="18" t="str">
        <x:v>https://www.myglobalhealth.online/ireland/en</x:v>
      </x:c>
    </x:row>
    <x:row r="9" ht="90" customHeight="1">
      <x:c r="A9" s="18" t="str">
        <x:v>ACCESS-001</x:v>
      </x:c>
      <x:c r="B9" s="18"/>
      <x:c r="C9" s="18" t="str">
        <x:v>Audit coverage</x:v>
      </x:c>
      <x:c r="D9" s="18" t="str">
        <x:v>All</x:v>
      </x:c>
      <x:c r="E9" s="18" t="str">
        <x:v>All</x:v>
      </x:c>
      <x:c r="F9" s="18"/>
      <x:c r="G9" s="18" t="str">
        <x:v>Fresh per-page analytics and complete crawl not collected in this starter</x:v>
      </x:c>
      <x:c r="H9" s="22" t="n">
        <x:v>46280</x:v>
      </x:c>
      <x:c r="I9" s="18" t="str">
        <x:v>Session limitation</x:v>
      </x:c>
      <x:c r="J9" s="18" t="str">
        <x:v>P1</x:v>
      </x:c>
      <x:c r="K9" s="18" t="n">
        <x:v>5</x:v>
      </x:c>
      <x:c r="L9" s="28" t="n">
        <x:v>1</x:v>
      </x:c>
      <x:c r="M9" s="18" t="n">
        <x:v>2</x:v>
      </x:c>
      <x:c r="N9" s="26" t="n">
        <x:f>IF(OR(K9="",L9="",M9=""),"",IFERROR(K9*L9/M9,""))</x:f>
        <x:v>2.5</x:v>
      </x:c>
      <x:c r="O9" s="18" t="str">
        <x:v>Blocked</x:v>
      </x:c>
      <x:c r="P9" s="18"/>
      <x:c r="Q9" s="18" t="str">
        <x:v>Run the supplied audit prompt in the repo runtime with existing connectors</x:v>
      </x:c>
      <x:c r="R9" s="18" t="str">
        <x:v>Dated exports, extraction manifest and URL-level coverage delivered</x:v>
      </x:c>
      <x:c r="S9" s="22"/>
      <x:c r="T9" s="18" t="str">
        <x:v>https://github.com/myglobalhealthonline/global-health-website/blob/main/seo/README.md</x:v>
      </x:c>
    </x:row>
    <x:row r="10" ht="30" customHeight="1">
      <x:c r="A10" s="18"/>
      <x:c r="B10" s="18"/>
      <x:c r="C10" s="18"/>
      <x:c r="D10" s="18"/>
      <x:c r="E10" s="18"/>
      <x:c r="F10" s="18"/>
      <x:c r="G10" s="18"/>
      <x:c r="H10" s="22"/>
      <x:c r="I10" s="18"/>
      <x:c r="J10" s="18"/>
      <x:c r="K10" s="18"/>
      <x:c r="L10" s="28"/>
      <x:c r="M10" s="18"/>
      <x:c r="N10" s="26"/>
      <x:c r="O10" s="18"/>
      <x:c r="P10" s="18"/>
      <x:c r="Q10" s="18"/>
      <x:c r="R10" s="18"/>
      <x:c r="S10" s="22"/>
      <x:c r="T10" s="18"/>
    </x:row>
    <x:row r="11" ht="30" customHeight="1">
      <x:c r="A11" s="18"/>
      <x:c r="B11" s="18"/>
      <x:c r="C11" s="18"/>
      <x:c r="D11" s="18"/>
      <x:c r="E11" s="18"/>
      <x:c r="F11" s="18"/>
      <x:c r="G11" s="18"/>
      <x:c r="H11" s="22"/>
      <x:c r="I11" s="18"/>
      <x:c r="J11" s="18"/>
      <x:c r="K11" s="18"/>
      <x:c r="L11" s="28"/>
      <x:c r="M11" s="18"/>
      <x:c r="N11" s="26"/>
      <x:c r="O11" s="18"/>
      <x:c r="P11" s="18"/>
      <x:c r="Q11" s="18"/>
      <x:c r="R11" s="18"/>
      <x:c r="S11" s="22"/>
      <x:c r="T11" s="18"/>
    </x:row>
    <x:row r="12" ht="30" customHeight="1">
      <x:c r="A12" s="18"/>
      <x:c r="B12" s="18"/>
      <x:c r="C12" s="18"/>
      <x:c r="D12" s="18"/>
      <x:c r="E12" s="18"/>
      <x:c r="F12" s="18"/>
      <x:c r="G12" s="18"/>
      <x:c r="H12" s="22"/>
      <x:c r="I12" s="18"/>
      <x:c r="J12" s="18"/>
      <x:c r="K12" s="18"/>
      <x:c r="L12" s="28"/>
      <x:c r="M12" s="18"/>
      <x:c r="N12" s="26"/>
      <x:c r="O12" s="18"/>
      <x:c r="P12" s="18"/>
      <x:c r="Q12" s="18"/>
      <x:c r="R12" s="18"/>
      <x:c r="S12" s="22"/>
      <x:c r="T12" s="18"/>
    </x:row>
    <x:row r="13" ht="30" customHeight="1">
      <x:c r="A13" s="18"/>
      <x:c r="B13" s="18"/>
      <x:c r="C13" s="18"/>
      <x:c r="D13" s="18"/>
      <x:c r="E13" s="18"/>
      <x:c r="F13" s="18"/>
      <x:c r="G13" s="18"/>
      <x:c r="H13" s="22"/>
      <x:c r="I13" s="18"/>
      <x:c r="J13" s="18"/>
      <x:c r="K13" s="18"/>
      <x:c r="L13" s="28"/>
      <x:c r="M13" s="18"/>
      <x:c r="N13" s="26"/>
      <x:c r="O13" s="18"/>
      <x:c r="P13" s="18"/>
      <x:c r="Q13" s="18"/>
      <x:c r="R13" s="18"/>
      <x:c r="S13" s="22"/>
      <x:c r="T13" s="18"/>
    </x:row>
    <x:row r="14" ht="30" customHeight="1">
      <x:c r="A14" s="18"/>
      <x:c r="B14" s="18"/>
      <x:c r="C14" s="18"/>
      <x:c r="D14" s="18"/>
      <x:c r="E14" s="18"/>
      <x:c r="F14" s="18"/>
      <x:c r="G14" s="18"/>
      <x:c r="H14" s="22"/>
      <x:c r="I14" s="18"/>
      <x:c r="J14" s="18"/>
      <x:c r="K14" s="18"/>
      <x:c r="L14" s="28"/>
      <x:c r="M14" s="18"/>
      <x:c r="N14" s="26"/>
      <x:c r="O14" s="18"/>
      <x:c r="P14" s="18"/>
      <x:c r="Q14" s="18"/>
      <x:c r="R14" s="18"/>
      <x:c r="S14" s="22"/>
      <x:c r="T14" s="18"/>
    </x:row>
    <x:row r="15" ht="30" customHeight="1">
      <x:c r="A15" s="18"/>
      <x:c r="B15" s="18"/>
      <x:c r="C15" s="18"/>
      <x:c r="D15" s="18"/>
      <x:c r="E15" s="18"/>
      <x:c r="F15" s="18"/>
      <x:c r="G15" s="18"/>
      <x:c r="H15" s="22"/>
      <x:c r="I15" s="18"/>
      <x:c r="J15" s="18"/>
      <x:c r="K15" s="18"/>
      <x:c r="L15" s="28"/>
      <x:c r="M15" s="18"/>
      <x:c r="N15" s="26"/>
      <x:c r="O15" s="18"/>
      <x:c r="P15" s="18"/>
      <x:c r="Q15" s="18"/>
      <x:c r="R15" s="18"/>
      <x:c r="S15" s="22"/>
      <x:c r="T15" s="18"/>
    </x:row>
    <x:row r="16" ht="30" customHeight="1">
      <x:c r="A16" s="18"/>
      <x:c r="B16" s="18"/>
      <x:c r="C16" s="18"/>
      <x:c r="D16" s="18"/>
      <x:c r="E16" s="18"/>
      <x:c r="F16" s="18"/>
      <x:c r="G16" s="18"/>
      <x:c r="H16" s="22"/>
      <x:c r="I16" s="18"/>
      <x:c r="J16" s="18"/>
      <x:c r="K16" s="18"/>
      <x:c r="L16" s="28"/>
      <x:c r="M16" s="18"/>
      <x:c r="N16" s="26"/>
      <x:c r="O16" s="18"/>
      <x:c r="P16" s="18"/>
      <x:c r="Q16" s="18"/>
      <x:c r="R16" s="18"/>
      <x:c r="S16" s="22"/>
      <x:c r="T16" s="18"/>
    </x:row>
    <x:row r="17" ht="30" customHeight="1">
      <x:c r="A17" s="18"/>
      <x:c r="B17" s="18"/>
      <x:c r="C17" s="18"/>
      <x:c r="D17" s="18"/>
      <x:c r="E17" s="18"/>
      <x:c r="F17" s="18"/>
      <x:c r="G17" s="18"/>
      <x:c r="H17" s="22"/>
      <x:c r="I17" s="18"/>
      <x:c r="J17" s="18"/>
      <x:c r="K17" s="18"/>
      <x:c r="L17" s="28"/>
      <x:c r="M17" s="18"/>
      <x:c r="N17" s="26"/>
      <x:c r="O17" s="18"/>
      <x:c r="P17" s="18"/>
      <x:c r="Q17" s="18"/>
      <x:c r="R17" s="18"/>
      <x:c r="S17" s="22"/>
      <x:c r="T17" s="18"/>
    </x:row>
    <x:row r="18" ht="30" customHeight="1">
      <x:c r="A18" s="18"/>
      <x:c r="B18" s="18"/>
      <x:c r="C18" s="18"/>
      <x:c r="D18" s="18"/>
      <x:c r="E18" s="18"/>
      <x:c r="F18" s="18"/>
      <x:c r="G18" s="18"/>
      <x:c r="H18" s="22"/>
      <x:c r="I18" s="18"/>
      <x:c r="J18" s="18"/>
      <x:c r="K18" s="18"/>
      <x:c r="L18" s="28"/>
      <x:c r="M18" s="18"/>
      <x:c r="N18" s="26"/>
      <x:c r="O18" s="18"/>
      <x:c r="P18" s="18"/>
      <x:c r="Q18" s="18"/>
      <x:c r="R18" s="18"/>
      <x:c r="S18" s="22"/>
      <x:c r="T18" s="18"/>
    </x:row>
    <x:row r="19" ht="30" customHeight="1">
      <x:c r="A19" s="18"/>
      <x:c r="B19" s="18"/>
      <x:c r="C19" s="18"/>
      <x:c r="D19" s="18"/>
      <x:c r="E19" s="18"/>
      <x:c r="F19" s="18"/>
      <x:c r="G19" s="18"/>
      <x:c r="H19" s="22"/>
      <x:c r="I19" s="18"/>
      <x:c r="J19" s="18"/>
      <x:c r="K19" s="18"/>
      <x:c r="L19" s="28"/>
      <x:c r="M19" s="18"/>
      <x:c r="N19" s="26"/>
      <x:c r="O19" s="18"/>
      <x:c r="P19" s="18"/>
      <x:c r="Q19" s="18"/>
      <x:c r="R19" s="18"/>
      <x:c r="S19" s="22"/>
      <x:c r="T19" s="18"/>
    </x:row>
    <x:row r="20" ht="30" customHeight="1">
      <x:c r="A20" s="18"/>
      <x:c r="B20" s="18"/>
      <x:c r="C20" s="18"/>
      <x:c r="D20" s="18"/>
      <x:c r="E20" s="18"/>
      <x:c r="F20" s="18"/>
      <x:c r="G20" s="18"/>
      <x:c r="H20" s="22"/>
      <x:c r="I20" s="18"/>
      <x:c r="J20" s="18"/>
      <x:c r="K20" s="18"/>
      <x:c r="L20" s="28"/>
      <x:c r="M20" s="18"/>
      <x:c r="N20" s="26"/>
      <x:c r="O20" s="18"/>
      <x:c r="P20" s="18"/>
      <x:c r="Q20" s="18"/>
      <x:c r="R20" s="18"/>
      <x:c r="S20" s="22"/>
      <x:c r="T20" s="18"/>
    </x:row>
    <x:row r="21" ht="30" customHeight="1">
      <x:c r="A21" s="18"/>
      <x:c r="B21" s="18"/>
      <x:c r="C21" s="18"/>
      <x:c r="D21" s="18"/>
      <x:c r="E21" s="18"/>
      <x:c r="F21" s="18"/>
      <x:c r="G21" s="18"/>
      <x:c r="H21" s="22"/>
      <x:c r="I21" s="18"/>
      <x:c r="J21" s="18"/>
      <x:c r="K21" s="18"/>
      <x:c r="L21" s="28"/>
      <x:c r="M21" s="18"/>
      <x:c r="N21" s="26"/>
      <x:c r="O21" s="18"/>
      <x:c r="P21" s="18"/>
      <x:c r="Q21" s="18"/>
      <x:c r="R21" s="18"/>
      <x:c r="S21" s="22"/>
      <x:c r="T21" s="18"/>
    </x:row>
    <x:row r="22" ht="30" customHeight="1">
      <x:c r="A22" s="18"/>
      <x:c r="B22" s="18"/>
      <x:c r="C22" s="18"/>
      <x:c r="D22" s="18"/>
      <x:c r="E22" s="18"/>
      <x:c r="F22" s="18"/>
      <x:c r="G22" s="18"/>
      <x:c r="H22" s="22"/>
      <x:c r="I22" s="18"/>
      <x:c r="J22" s="18"/>
      <x:c r="K22" s="18"/>
      <x:c r="L22" s="28"/>
      <x:c r="M22" s="18"/>
      <x:c r="N22" s="26"/>
      <x:c r="O22" s="18"/>
      <x:c r="P22" s="18"/>
      <x:c r="Q22" s="18"/>
      <x:c r="R22" s="18"/>
      <x:c r="S22" s="22"/>
      <x:c r="T22" s="18"/>
    </x:row>
    <x:row r="23" ht="30" customHeight="1">
      <x:c r="A23" s="18"/>
      <x:c r="B23" s="18"/>
      <x:c r="C23" s="18"/>
      <x:c r="D23" s="18"/>
      <x:c r="E23" s="18"/>
      <x:c r="F23" s="18"/>
      <x:c r="G23" s="18"/>
      <x:c r="H23" s="22"/>
      <x:c r="I23" s="18"/>
      <x:c r="J23" s="18"/>
      <x:c r="K23" s="18"/>
      <x:c r="L23" s="28"/>
      <x:c r="M23" s="18"/>
      <x:c r="N23" s="26"/>
      <x:c r="O23" s="18"/>
      <x:c r="P23" s="18"/>
      <x:c r="Q23" s="18"/>
      <x:c r="R23" s="18"/>
      <x:c r="S23" s="22"/>
      <x:c r="T23" s="18"/>
    </x:row>
    <x:row r="24" ht="30" customHeight="1">
      <x:c r="A24" s="18"/>
      <x:c r="B24" s="18"/>
      <x:c r="C24" s="18"/>
      <x:c r="D24" s="18"/>
      <x:c r="E24" s="18"/>
      <x:c r="F24" s="18"/>
      <x:c r="G24" s="18"/>
      <x:c r="H24" s="22"/>
      <x:c r="I24" s="18"/>
      <x:c r="J24" s="18"/>
      <x:c r="K24" s="18"/>
      <x:c r="L24" s="28"/>
      <x:c r="M24" s="18"/>
      <x:c r="N24" s="26"/>
      <x:c r="O24" s="18"/>
      <x:c r="P24" s="18"/>
      <x:c r="Q24" s="18"/>
      <x:c r="R24" s="18"/>
      <x:c r="S24" s="22"/>
      <x:c r="T24" s="18"/>
    </x:row>
    <x:row r="25" ht="30" customHeight="1">
      <x:c r="A25" s="18"/>
      <x:c r="B25" s="18"/>
      <x:c r="C25" s="18"/>
      <x:c r="D25" s="18"/>
      <x:c r="E25" s="18"/>
      <x:c r="F25" s="18"/>
      <x:c r="G25" s="18"/>
      <x:c r="H25" s="22"/>
      <x:c r="I25" s="18"/>
      <x:c r="J25" s="18"/>
      <x:c r="K25" s="18"/>
      <x:c r="L25" s="28"/>
      <x:c r="M25" s="18"/>
      <x:c r="N25" s="26"/>
      <x:c r="O25" s="18"/>
      <x:c r="P25" s="18"/>
      <x:c r="Q25" s="18"/>
      <x:c r="R25" s="18"/>
      <x:c r="S25" s="22"/>
      <x:c r="T25" s="18"/>
    </x:row>
    <x:row r="26" ht="30" customHeight="1">
      <x:c r="A26" s="18"/>
      <x:c r="B26" s="18"/>
      <x:c r="C26" s="18"/>
      <x:c r="D26" s="18"/>
      <x:c r="E26" s="18"/>
      <x:c r="F26" s="18"/>
      <x:c r="G26" s="18"/>
      <x:c r="H26" s="22"/>
      <x:c r="I26" s="18"/>
      <x:c r="J26" s="18"/>
      <x:c r="K26" s="18"/>
      <x:c r="L26" s="28"/>
      <x:c r="M26" s="18"/>
      <x:c r="N26" s="26"/>
      <x:c r="O26" s="18"/>
      <x:c r="P26" s="18"/>
      <x:c r="Q26" s="18"/>
      <x:c r="R26" s="18"/>
      <x:c r="S26" s="22"/>
      <x:c r="T26" s="18"/>
    </x:row>
    <x:row r="27" ht="30" customHeight="1">
      <x:c r="A27" s="18"/>
      <x:c r="B27" s="18"/>
      <x:c r="C27" s="18"/>
      <x:c r="D27" s="18"/>
      <x:c r="E27" s="18"/>
      <x:c r="F27" s="18"/>
      <x:c r="G27" s="18"/>
      <x:c r="H27" s="22"/>
      <x:c r="I27" s="18"/>
      <x:c r="J27" s="18"/>
      <x:c r="K27" s="18"/>
      <x:c r="L27" s="28"/>
      <x:c r="M27" s="18"/>
      <x:c r="N27" s="26"/>
      <x:c r="O27" s="18"/>
      <x:c r="P27" s="18"/>
      <x:c r="Q27" s="18"/>
      <x:c r="R27" s="18"/>
      <x:c r="S27" s="22"/>
      <x:c r="T27" s="18"/>
    </x:row>
    <x:row r="28" ht="30" customHeight="1">
      <x:c r="A28" s="18"/>
      <x:c r="B28" s="18"/>
      <x:c r="C28" s="18"/>
      <x:c r="D28" s="18"/>
      <x:c r="E28" s="18"/>
      <x:c r="F28" s="18"/>
      <x:c r="G28" s="18"/>
      <x:c r="H28" s="22"/>
      <x:c r="I28" s="18"/>
      <x:c r="J28" s="18"/>
      <x:c r="K28" s="18"/>
      <x:c r="L28" s="28"/>
      <x:c r="M28" s="18"/>
      <x:c r="N28" s="26"/>
      <x:c r="O28" s="18"/>
      <x:c r="P28" s="18"/>
      <x:c r="Q28" s="18"/>
      <x:c r="R28" s="18"/>
      <x:c r="S28" s="22"/>
      <x:c r="T28" s="18"/>
    </x:row>
    <x:row r="29" ht="30" customHeight="1">
      <x:c r="A29" s="18"/>
      <x:c r="B29" s="18"/>
      <x:c r="C29" s="18"/>
      <x:c r="D29" s="18"/>
      <x:c r="E29" s="18"/>
      <x:c r="F29" s="18"/>
      <x:c r="G29" s="18"/>
      <x:c r="H29" s="22"/>
      <x:c r="I29" s="18"/>
      <x:c r="J29" s="18"/>
      <x:c r="K29" s="18"/>
      <x:c r="L29" s="28"/>
      <x:c r="M29" s="18"/>
      <x:c r="N29" s="26"/>
      <x:c r="O29" s="18"/>
      <x:c r="P29" s="18"/>
      <x:c r="Q29" s="18"/>
      <x:c r="R29" s="18"/>
      <x:c r="S29" s="22"/>
      <x:c r="T29" s="18"/>
    </x:row>
    <x:row r="30" ht="30" customHeight="1">
      <x:c r="A30" s="18"/>
      <x:c r="B30" s="18"/>
      <x:c r="C30" s="18"/>
      <x:c r="D30" s="18"/>
      <x:c r="E30" s="18"/>
      <x:c r="F30" s="18"/>
      <x:c r="G30" s="18"/>
      <x:c r="H30" s="22"/>
      <x:c r="I30" s="18"/>
      <x:c r="J30" s="18"/>
      <x:c r="K30" s="18"/>
      <x:c r="L30" s="28"/>
      <x:c r="M30" s="18"/>
      <x:c r="N30" s="26"/>
      <x:c r="O30" s="18"/>
      <x:c r="P30" s="18"/>
      <x:c r="Q30" s="18"/>
      <x:c r="R30" s="18"/>
      <x:c r="S30" s="22"/>
      <x:c r="T30" s="18"/>
    </x:row>
    <x:row r="31" ht="30" customHeight="1">
      <x:c r="A31" s="18"/>
      <x:c r="B31" s="18"/>
      <x:c r="C31" s="18"/>
      <x:c r="D31" s="18"/>
      <x:c r="E31" s="18"/>
      <x:c r="F31" s="18"/>
      <x:c r="G31" s="18"/>
      <x:c r="H31" s="22"/>
      <x:c r="I31" s="18"/>
      <x:c r="J31" s="18"/>
      <x:c r="K31" s="18"/>
      <x:c r="L31" s="28"/>
      <x:c r="M31" s="18"/>
      <x:c r="N31" s="26"/>
      <x:c r="O31" s="18"/>
      <x:c r="P31" s="18"/>
      <x:c r="Q31" s="18"/>
      <x:c r="R31" s="18"/>
      <x:c r="S31" s="22"/>
      <x:c r="T31" s="18"/>
    </x:row>
    <x:row r="32" ht="30" customHeight="1">
      <x:c r="A32" s="18"/>
      <x:c r="B32" s="18"/>
      <x:c r="C32" s="18"/>
      <x:c r="D32" s="18"/>
      <x:c r="E32" s="18"/>
      <x:c r="F32" s="18"/>
      <x:c r="G32" s="18"/>
      <x:c r="H32" s="22"/>
      <x:c r="I32" s="18"/>
      <x:c r="J32" s="18"/>
      <x:c r="K32" s="18"/>
      <x:c r="L32" s="28"/>
      <x:c r="M32" s="18"/>
      <x:c r="N32" s="26"/>
      <x:c r="O32" s="18"/>
      <x:c r="P32" s="18"/>
      <x:c r="Q32" s="18"/>
      <x:c r="R32" s="18"/>
      <x:c r="S32" s="22"/>
      <x:c r="T32" s="18"/>
    </x:row>
    <x:row r="33" ht="30" customHeight="1">
      <x:c r="A33" s="18"/>
      <x:c r="B33" s="18"/>
      <x:c r="C33" s="18"/>
      <x:c r="D33" s="18"/>
      <x:c r="E33" s="18"/>
      <x:c r="F33" s="18"/>
      <x:c r="G33" s="18"/>
      <x:c r="H33" s="22"/>
      <x:c r="I33" s="18"/>
      <x:c r="J33" s="18"/>
      <x:c r="K33" s="18"/>
      <x:c r="L33" s="28"/>
      <x:c r="M33" s="18"/>
      <x:c r="N33" s="26"/>
      <x:c r="O33" s="18"/>
      <x:c r="P33" s="18"/>
      <x:c r="Q33" s="18"/>
      <x:c r="R33" s="18"/>
      <x:c r="S33" s="22"/>
      <x:c r="T33" s="18"/>
    </x:row>
    <x:row r="34" ht="30" customHeight="1">
      <x:c r="A34" s="18"/>
      <x:c r="B34" s="18"/>
      <x:c r="C34" s="18"/>
      <x:c r="D34" s="18"/>
      <x:c r="E34" s="18"/>
      <x:c r="F34" s="18"/>
      <x:c r="G34" s="18"/>
      <x:c r="H34" s="22"/>
      <x:c r="I34" s="18"/>
      <x:c r="J34" s="18"/>
      <x:c r="K34" s="18"/>
      <x:c r="L34" s="28"/>
      <x:c r="M34" s="18"/>
      <x:c r="N34" s="26"/>
      <x:c r="O34" s="18"/>
      <x:c r="P34" s="18"/>
      <x:c r="Q34" s="18"/>
      <x:c r="R34" s="18"/>
      <x:c r="S34" s="22"/>
      <x:c r="T34" s="18"/>
    </x:row>
    <x:row r="35" ht="30" customHeight="1">
      <x:c r="A35" s="18"/>
      <x:c r="B35" s="18"/>
      <x:c r="C35" s="18"/>
      <x:c r="D35" s="18"/>
      <x:c r="E35" s="18"/>
      <x:c r="F35" s="18"/>
      <x:c r="G35" s="18"/>
      <x:c r="H35" s="22"/>
      <x:c r="I35" s="18"/>
      <x:c r="J35" s="18"/>
      <x:c r="K35" s="18"/>
      <x:c r="L35" s="28"/>
      <x:c r="M35" s="18"/>
      <x:c r="N35" s="26"/>
      <x:c r="O35" s="18"/>
      <x:c r="P35" s="18"/>
      <x:c r="Q35" s="18"/>
      <x:c r="R35" s="18"/>
      <x:c r="S35" s="22"/>
      <x:c r="T35" s="18"/>
    </x:row>
    <x:row r="36" ht="30" customHeight="1">
      <x:c r="A36" s="18"/>
      <x:c r="B36" s="18"/>
      <x:c r="C36" s="18"/>
      <x:c r="D36" s="18"/>
      <x:c r="E36" s="18"/>
      <x:c r="F36" s="18"/>
      <x:c r="G36" s="18"/>
      <x:c r="H36" s="22"/>
      <x:c r="I36" s="18"/>
      <x:c r="J36" s="18"/>
      <x:c r="K36" s="18"/>
      <x:c r="L36" s="28"/>
      <x:c r="M36" s="18"/>
      <x:c r="N36" s="26"/>
      <x:c r="O36" s="18"/>
      <x:c r="P36" s="18"/>
      <x:c r="Q36" s="18"/>
      <x:c r="R36" s="18"/>
      <x:c r="S36" s="22"/>
      <x:c r="T36" s="18"/>
    </x:row>
    <x:row r="37" ht="30" customHeight="1">
      <x:c r="A37" s="18"/>
      <x:c r="B37" s="18"/>
      <x:c r="C37" s="18"/>
      <x:c r="D37" s="18"/>
      <x:c r="E37" s="18"/>
      <x:c r="F37" s="18"/>
      <x:c r="G37" s="18"/>
      <x:c r="H37" s="22"/>
      <x:c r="I37" s="18"/>
      <x:c r="J37" s="18"/>
      <x:c r="K37" s="18"/>
      <x:c r="L37" s="28"/>
      <x:c r="M37" s="18"/>
      <x:c r="N37" s="26"/>
      <x:c r="O37" s="18"/>
      <x:c r="P37" s="18"/>
      <x:c r="Q37" s="18"/>
      <x:c r="R37" s="18"/>
      <x:c r="S37" s="22"/>
      <x:c r="T37" s="18"/>
    </x:row>
    <x:row r="38" ht="30" customHeight="1">
      <x:c r="A38" s="18"/>
      <x:c r="B38" s="18"/>
      <x:c r="C38" s="18"/>
      <x:c r="D38" s="18"/>
      <x:c r="E38" s="18"/>
      <x:c r="F38" s="18"/>
      <x:c r="G38" s="18"/>
      <x:c r="H38" s="22"/>
      <x:c r="I38" s="18"/>
      <x:c r="J38" s="18"/>
      <x:c r="K38" s="18"/>
      <x:c r="L38" s="28"/>
      <x:c r="M38" s="18"/>
      <x:c r="N38" s="26"/>
      <x:c r="O38" s="18"/>
      <x:c r="P38" s="18"/>
      <x:c r="Q38" s="18"/>
      <x:c r="R38" s="18"/>
      <x:c r="S38" s="22"/>
      <x:c r="T38" s="18"/>
    </x:row>
    <x:row r="39" ht="30" customHeight="1">
      <x:c r="A39" s="18"/>
      <x:c r="B39" s="18"/>
      <x:c r="C39" s="18"/>
      <x:c r="D39" s="18"/>
      <x:c r="E39" s="18"/>
      <x:c r="F39" s="18"/>
      <x:c r="G39" s="18"/>
      <x:c r="H39" s="22"/>
      <x:c r="I39" s="18"/>
      <x:c r="J39" s="18"/>
      <x:c r="K39" s="18"/>
      <x:c r="L39" s="28"/>
      <x:c r="M39" s="18"/>
      <x:c r="N39" s="26"/>
      <x:c r="O39" s="18"/>
      <x:c r="P39" s="18"/>
      <x:c r="Q39" s="18"/>
      <x:c r="R39" s="18"/>
      <x:c r="S39" s="22"/>
      <x:c r="T39" s="18"/>
    </x:row>
    <x:row r="40" ht="30" customHeight="1">
      <x:c r="A40" s="18"/>
      <x:c r="B40" s="18"/>
      <x:c r="C40" s="18"/>
      <x:c r="D40" s="18"/>
      <x:c r="E40" s="18"/>
      <x:c r="F40" s="18"/>
      <x:c r="G40" s="18"/>
      <x:c r="H40" s="22"/>
      <x:c r="I40" s="18"/>
      <x:c r="J40" s="18"/>
      <x:c r="K40" s="18"/>
      <x:c r="L40" s="28"/>
      <x:c r="M40" s="18"/>
      <x:c r="N40" s="26"/>
      <x:c r="O40" s="18"/>
      <x:c r="P40" s="18"/>
      <x:c r="Q40" s="18"/>
      <x:c r="R40" s="18"/>
      <x:c r="S40" s="22"/>
      <x:c r="T40" s="18"/>
    </x:row>
    <x:row r="41" ht="30" customHeight="1">
      <x:c r="A41" s="18"/>
      <x:c r="B41" s="18"/>
      <x:c r="C41" s="18"/>
      <x:c r="D41" s="18"/>
      <x:c r="E41" s="18"/>
      <x:c r="F41" s="18"/>
      <x:c r="G41" s="18"/>
      <x:c r="H41" s="22"/>
      <x:c r="I41" s="18"/>
      <x:c r="J41" s="18"/>
      <x:c r="K41" s="18"/>
      <x:c r="L41" s="28"/>
      <x:c r="M41" s="18"/>
      <x:c r="N41" s="26"/>
      <x:c r="O41" s="18"/>
      <x:c r="P41" s="18"/>
      <x:c r="Q41" s="18"/>
      <x:c r="R41" s="18"/>
      <x:c r="S41" s="22"/>
      <x:c r="T41" s="18"/>
    </x:row>
    <x:row r="42" ht="30" customHeight="1">
      <x:c r="A42" s="18"/>
      <x:c r="B42" s="18"/>
      <x:c r="C42" s="18"/>
      <x:c r="D42" s="18"/>
      <x:c r="E42" s="18"/>
      <x:c r="F42" s="18"/>
      <x:c r="G42" s="18"/>
      <x:c r="H42" s="22"/>
      <x:c r="I42" s="18"/>
      <x:c r="J42" s="18"/>
      <x:c r="K42" s="18"/>
      <x:c r="L42" s="28"/>
      <x:c r="M42" s="18"/>
      <x:c r="N42" s="26"/>
      <x:c r="O42" s="18"/>
      <x:c r="P42" s="18"/>
      <x:c r="Q42" s="18"/>
      <x:c r="R42" s="18"/>
      <x:c r="S42" s="22"/>
      <x:c r="T42" s="18"/>
    </x:row>
    <x:row r="43" ht="30" customHeight="1">
      <x:c r="A43" s="18"/>
      <x:c r="B43" s="18"/>
      <x:c r="C43" s="18"/>
      <x:c r="D43" s="18"/>
      <x:c r="E43" s="18"/>
      <x:c r="F43" s="18"/>
      <x:c r="G43" s="18"/>
      <x:c r="H43" s="22"/>
      <x:c r="I43" s="18"/>
      <x:c r="J43" s="18"/>
      <x:c r="K43" s="18"/>
      <x:c r="L43" s="28"/>
      <x:c r="M43" s="18"/>
      <x:c r="N43" s="26"/>
      <x:c r="O43" s="18"/>
      <x:c r="P43" s="18"/>
      <x:c r="Q43" s="18"/>
      <x:c r="R43" s="18"/>
      <x:c r="S43" s="22"/>
      <x:c r="T43" s="18"/>
    </x:row>
    <x:row r="44" ht="30" customHeight="1">
      <x:c r="A44" s="18"/>
      <x:c r="B44" s="18"/>
      <x:c r="C44" s="18"/>
      <x:c r="D44" s="18"/>
      <x:c r="E44" s="18"/>
      <x:c r="F44" s="18"/>
      <x:c r="G44" s="18"/>
      <x:c r="H44" s="22"/>
      <x:c r="I44" s="18"/>
      <x:c r="J44" s="18"/>
      <x:c r="K44" s="18"/>
      <x:c r="L44" s="28"/>
      <x:c r="M44" s="18"/>
      <x:c r="N44" s="26"/>
      <x:c r="O44" s="18"/>
      <x:c r="P44" s="18"/>
      <x:c r="Q44" s="18"/>
      <x:c r="R44" s="18"/>
      <x:c r="S44" s="22"/>
      <x:c r="T44" s="18"/>
    </x:row>
    <x:row r="45" ht="30" customHeight="1">
      <x:c r="A45" s="18"/>
      <x:c r="B45" s="18"/>
      <x:c r="C45" s="18"/>
      <x:c r="D45" s="18"/>
      <x:c r="E45" s="18"/>
      <x:c r="F45" s="18"/>
      <x:c r="G45" s="18"/>
      <x:c r="H45" s="22"/>
      <x:c r="I45" s="18"/>
      <x:c r="J45" s="18"/>
      <x:c r="K45" s="18"/>
      <x:c r="L45" s="28"/>
      <x:c r="M45" s="18"/>
      <x:c r="N45" s="26"/>
      <x:c r="O45" s="18"/>
      <x:c r="P45" s="18"/>
      <x:c r="Q45" s="18"/>
      <x:c r="R45" s="18"/>
      <x:c r="S45" s="22"/>
      <x:c r="T45" s="18"/>
    </x:row>
    <x:row r="46" ht="30" customHeight="1">
      <x:c r="A46" s="18"/>
      <x:c r="B46" s="18"/>
      <x:c r="C46" s="18"/>
      <x:c r="D46" s="18"/>
      <x:c r="E46" s="18"/>
      <x:c r="F46" s="18"/>
      <x:c r="G46" s="18"/>
      <x:c r="H46" s="22"/>
      <x:c r="I46" s="18"/>
      <x:c r="J46" s="18"/>
      <x:c r="K46" s="18"/>
      <x:c r="L46" s="28"/>
      <x:c r="M46" s="18"/>
      <x:c r="N46" s="26"/>
      <x:c r="O46" s="18"/>
      <x:c r="P46" s="18"/>
      <x:c r="Q46" s="18"/>
      <x:c r="R46" s="18"/>
      <x:c r="S46" s="22"/>
      <x:c r="T46" s="18"/>
    </x:row>
    <x:row r="47" ht="30" customHeight="1">
      <x:c r="A47" s="18"/>
      <x:c r="B47" s="18"/>
      <x:c r="C47" s="18"/>
      <x:c r="D47" s="18"/>
      <x:c r="E47" s="18"/>
      <x:c r="F47" s="18"/>
      <x:c r="G47" s="18"/>
      <x:c r="H47" s="22"/>
      <x:c r="I47" s="18"/>
      <x:c r="J47" s="18"/>
      <x:c r="K47" s="18"/>
      <x:c r="L47" s="28"/>
      <x:c r="M47" s="18"/>
      <x:c r="N47" s="26"/>
      <x:c r="O47" s="18"/>
      <x:c r="P47" s="18"/>
      <x:c r="Q47" s="18"/>
      <x:c r="R47" s="18"/>
      <x:c r="S47" s="22"/>
      <x:c r="T47" s="18"/>
    </x:row>
    <x:row r="48" ht="30" customHeight="1">
      <x:c r="A48" s="18"/>
      <x:c r="B48" s="18"/>
      <x:c r="C48" s="18"/>
      <x:c r="D48" s="18"/>
      <x:c r="E48" s="18"/>
      <x:c r="F48" s="18"/>
      <x:c r="G48" s="18"/>
      <x:c r="H48" s="22"/>
      <x:c r="I48" s="18"/>
      <x:c r="J48" s="18"/>
      <x:c r="K48" s="18"/>
      <x:c r="L48" s="28"/>
      <x:c r="M48" s="18"/>
      <x:c r="N48" s="26"/>
      <x:c r="O48" s="18"/>
      <x:c r="P48" s="18"/>
      <x:c r="Q48" s="18"/>
      <x:c r="R48" s="18"/>
      <x:c r="S48" s="22"/>
      <x:c r="T48" s="18"/>
    </x:row>
    <x:row r="49" ht="30" customHeight="1">
      <x:c r="A49" s="18"/>
      <x:c r="B49" s="18"/>
      <x:c r="C49" s="18"/>
      <x:c r="D49" s="18"/>
      <x:c r="E49" s="18"/>
      <x:c r="F49" s="18"/>
      <x:c r="G49" s="18"/>
      <x:c r="H49" s="22"/>
      <x:c r="I49" s="18"/>
      <x:c r="J49" s="18"/>
      <x:c r="K49" s="18"/>
      <x:c r="L49" s="28"/>
      <x:c r="M49" s="18"/>
      <x:c r="N49" s="26"/>
      <x:c r="O49" s="18"/>
      <x:c r="P49" s="18"/>
      <x:c r="Q49" s="18"/>
      <x:c r="R49" s="18"/>
      <x:c r="S49" s="22"/>
      <x:c r="T49" s="18"/>
    </x:row>
    <x:row r="50" ht="30" customHeight="1">
      <x:c r="A50" s="18"/>
      <x:c r="B50" s="18"/>
      <x:c r="C50" s="18"/>
      <x:c r="D50" s="18"/>
      <x:c r="E50" s="18"/>
      <x:c r="F50" s="18"/>
      <x:c r="G50" s="18"/>
      <x:c r="H50" s="22"/>
      <x:c r="I50" s="18"/>
      <x:c r="J50" s="18"/>
      <x:c r="K50" s="18"/>
      <x:c r="L50" s="28"/>
      <x:c r="M50" s="18"/>
      <x:c r="N50" s="26"/>
      <x:c r="O50" s="18"/>
      <x:c r="P50" s="18"/>
      <x:c r="Q50" s="18"/>
      <x:c r="R50" s="18"/>
      <x:c r="S50" s="22"/>
      <x:c r="T50" s="18"/>
    </x:row>
    <x:row r="51" ht="30" customHeight="1">
      <x:c r="A51" s="18"/>
      <x:c r="B51" s="18"/>
      <x:c r="C51" s="18"/>
      <x:c r="D51" s="18"/>
      <x:c r="E51" s="18"/>
      <x:c r="F51" s="18"/>
      <x:c r="G51" s="18"/>
      <x:c r="H51" s="22"/>
      <x:c r="I51" s="18"/>
      <x:c r="J51" s="18"/>
      <x:c r="K51" s="18"/>
      <x:c r="L51" s="28"/>
      <x:c r="M51" s="18"/>
      <x:c r="N51" s="26"/>
      <x:c r="O51" s="18"/>
      <x:c r="P51" s="18"/>
      <x:c r="Q51" s="18"/>
      <x:c r="R51" s="18"/>
      <x:c r="S51" s="22"/>
      <x:c r="T51" s="18"/>
    </x:row>
    <x:row r="52" ht="30" customHeight="1">
      <x:c r="A52" s="18"/>
      <x:c r="B52" s="18"/>
      <x:c r="C52" s="18"/>
      <x:c r="D52" s="18"/>
      <x:c r="E52" s="18"/>
      <x:c r="F52" s="18"/>
      <x:c r="G52" s="18"/>
      <x:c r="H52" s="22"/>
      <x:c r="I52" s="18"/>
      <x:c r="J52" s="18"/>
      <x:c r="K52" s="18"/>
      <x:c r="L52" s="28"/>
      <x:c r="M52" s="18"/>
      <x:c r="N52" s="26"/>
      <x:c r="O52" s="18"/>
      <x:c r="P52" s="18"/>
      <x:c r="Q52" s="18"/>
      <x:c r="R52" s="18"/>
      <x:c r="S52" s="22"/>
      <x:c r="T52" s="18"/>
    </x:row>
    <x:row r="53" ht="30" customHeight="1">
      <x:c r="A53" s="18"/>
      <x:c r="B53" s="18"/>
      <x:c r="C53" s="18"/>
      <x:c r="D53" s="18"/>
      <x:c r="E53" s="18"/>
      <x:c r="F53" s="18"/>
      <x:c r="G53" s="18"/>
      <x:c r="H53" s="22"/>
      <x:c r="I53" s="18"/>
      <x:c r="J53" s="18"/>
      <x:c r="K53" s="18"/>
      <x:c r="L53" s="28"/>
      <x:c r="M53" s="18"/>
      <x:c r="N53" s="26"/>
      <x:c r="O53" s="18"/>
      <x:c r="P53" s="18"/>
      <x:c r="Q53" s="18"/>
      <x:c r="R53" s="18"/>
      <x:c r="S53" s="22"/>
      <x:c r="T53" s="18"/>
    </x:row>
    <x:row r="54" ht="30" customHeight="1">
      <x:c r="A54" s="18"/>
      <x:c r="B54" s="18"/>
      <x:c r="C54" s="18"/>
      <x:c r="D54" s="18"/>
      <x:c r="E54" s="18"/>
      <x:c r="F54" s="18"/>
      <x:c r="G54" s="18"/>
      <x:c r="H54" s="22"/>
      <x:c r="I54" s="18"/>
      <x:c r="J54" s="18"/>
      <x:c r="K54" s="18"/>
      <x:c r="L54" s="28"/>
      <x:c r="M54" s="18"/>
      <x:c r="N54" s="26"/>
      <x:c r="O54" s="18"/>
      <x:c r="P54" s="18"/>
      <x:c r="Q54" s="18"/>
      <x:c r="R54" s="18"/>
      <x:c r="S54" s="22"/>
      <x:c r="T54" s="18"/>
    </x:row>
    <x:row r="55" ht="30" customHeight="1">
      <x:c r="A55" s="18"/>
      <x:c r="B55" s="18"/>
      <x:c r="C55" s="18"/>
      <x:c r="D55" s="18"/>
      <x:c r="E55" s="18"/>
      <x:c r="F55" s="18"/>
      <x:c r="G55" s="18"/>
      <x:c r="H55" s="22"/>
      <x:c r="I55" s="18"/>
      <x:c r="J55" s="18"/>
      <x:c r="K55" s="18"/>
      <x:c r="L55" s="28"/>
      <x:c r="M55" s="18"/>
      <x:c r="N55" s="26"/>
      <x:c r="O55" s="18"/>
      <x:c r="P55" s="18"/>
      <x:c r="Q55" s="18"/>
      <x:c r="R55" s="18"/>
      <x:c r="S55" s="22"/>
      <x:c r="T55" s="18"/>
    </x:row>
    <x:row r="56" ht="30" customHeight="1">
      <x:c r="A56" s="18"/>
      <x:c r="B56" s="18"/>
      <x:c r="C56" s="18"/>
      <x:c r="D56" s="18"/>
      <x:c r="E56" s="18"/>
      <x:c r="F56" s="18"/>
      <x:c r="G56" s="18"/>
      <x:c r="H56" s="22"/>
      <x:c r="I56" s="18"/>
      <x:c r="J56" s="18"/>
      <x:c r="K56" s="18"/>
      <x:c r="L56" s="28"/>
      <x:c r="M56" s="18"/>
      <x:c r="N56" s="26"/>
      <x:c r="O56" s="18"/>
      <x:c r="P56" s="18"/>
      <x:c r="Q56" s="18"/>
      <x:c r="R56" s="18"/>
      <x:c r="S56" s="22"/>
      <x:c r="T56" s="18"/>
    </x:row>
    <x:row r="57" ht="30" customHeight="1">
      <x:c r="A57" s="18"/>
      <x:c r="B57" s="18"/>
      <x:c r="C57" s="18"/>
      <x:c r="D57" s="18"/>
      <x:c r="E57" s="18"/>
      <x:c r="F57" s="18"/>
      <x:c r="G57" s="18"/>
      <x:c r="H57" s="22"/>
      <x:c r="I57" s="18"/>
      <x:c r="J57" s="18"/>
      <x:c r="K57" s="18"/>
      <x:c r="L57" s="28"/>
      <x:c r="M57" s="18"/>
      <x:c r="N57" s="26"/>
      <x:c r="O57" s="18"/>
      <x:c r="P57" s="18"/>
      <x:c r="Q57" s="18"/>
      <x:c r="R57" s="18"/>
      <x:c r="S57" s="22"/>
      <x:c r="T57" s="18"/>
    </x:row>
    <x:row r="58" ht="30" customHeight="1">
      <x:c r="A58" s="18"/>
      <x:c r="B58" s="18"/>
      <x:c r="C58" s="18"/>
      <x:c r="D58" s="18"/>
      <x:c r="E58" s="18"/>
      <x:c r="F58" s="18"/>
      <x:c r="G58" s="18"/>
      <x:c r="H58" s="22"/>
      <x:c r="I58" s="18"/>
      <x:c r="J58" s="18"/>
      <x:c r="K58" s="18"/>
      <x:c r="L58" s="28"/>
      <x:c r="M58" s="18"/>
      <x:c r="N58" s="26"/>
      <x:c r="O58" s="18"/>
      <x:c r="P58" s="18"/>
      <x:c r="Q58" s="18"/>
      <x:c r="R58" s="18"/>
      <x:c r="S58" s="22"/>
      <x:c r="T58" s="18"/>
    </x:row>
    <x:row r="59" ht="30" customHeight="1">
      <x:c r="A59" s="18"/>
      <x:c r="B59" s="18"/>
      <x:c r="C59" s="18"/>
      <x:c r="D59" s="18"/>
      <x:c r="E59" s="18"/>
      <x:c r="F59" s="18"/>
      <x:c r="G59" s="18"/>
      <x:c r="H59" s="22"/>
      <x:c r="I59" s="18"/>
      <x:c r="J59" s="18"/>
      <x:c r="K59" s="18"/>
      <x:c r="L59" s="28"/>
      <x:c r="M59" s="18"/>
      <x:c r="N59" s="26"/>
      <x:c r="O59" s="18"/>
      <x:c r="P59" s="18"/>
      <x:c r="Q59" s="18"/>
      <x:c r="R59" s="18"/>
      <x:c r="S59" s="22"/>
      <x:c r="T59" s="18"/>
    </x:row>
    <x:row r="60" ht="30" customHeight="1">
      <x:c r="A60" s="18"/>
      <x:c r="B60" s="18"/>
      <x:c r="C60" s="18"/>
      <x:c r="D60" s="18"/>
      <x:c r="E60" s="18"/>
      <x:c r="F60" s="18"/>
      <x:c r="G60" s="18"/>
      <x:c r="H60" s="22"/>
      <x:c r="I60" s="18"/>
      <x:c r="J60" s="18"/>
      <x:c r="K60" s="18"/>
      <x:c r="L60" s="28"/>
      <x:c r="M60" s="18"/>
      <x:c r="N60" s="26"/>
      <x:c r="O60" s="18"/>
      <x:c r="P60" s="18"/>
      <x:c r="Q60" s="18"/>
      <x:c r="R60" s="18"/>
      <x:c r="S60" s="22"/>
      <x:c r="T60" s="18"/>
    </x:row>
    <x:row r="61" ht="30" customHeight="1">
      <x:c r="A61" s="18"/>
      <x:c r="B61" s="18"/>
      <x:c r="C61" s="18"/>
      <x:c r="D61" s="18"/>
      <x:c r="E61" s="18"/>
      <x:c r="F61" s="18"/>
      <x:c r="G61" s="18"/>
      <x:c r="H61" s="22"/>
      <x:c r="I61" s="18"/>
      <x:c r="J61" s="18"/>
      <x:c r="K61" s="18"/>
      <x:c r="L61" s="28"/>
      <x:c r="M61" s="18"/>
      <x:c r="N61" s="26"/>
      <x:c r="O61" s="18"/>
      <x:c r="P61" s="18"/>
      <x:c r="Q61" s="18"/>
      <x:c r="R61" s="18"/>
      <x:c r="S61" s="22"/>
      <x:c r="T61" s="18"/>
    </x:row>
    <x:row r="62" ht="30" customHeight="1">
      <x:c r="A62" s="18"/>
      <x:c r="B62" s="18"/>
      <x:c r="C62" s="18"/>
      <x:c r="D62" s="18"/>
      <x:c r="E62" s="18"/>
      <x:c r="F62" s="18"/>
      <x:c r="G62" s="18"/>
      <x:c r="H62" s="22"/>
      <x:c r="I62" s="18"/>
      <x:c r="J62" s="18"/>
      <x:c r="K62" s="18"/>
      <x:c r="L62" s="28"/>
      <x:c r="M62" s="18"/>
      <x:c r="N62" s="26"/>
      <x:c r="O62" s="18"/>
      <x:c r="P62" s="18"/>
      <x:c r="Q62" s="18"/>
      <x:c r="R62" s="18"/>
      <x:c r="S62" s="22"/>
      <x:c r="T62" s="18"/>
    </x:row>
    <x:row r="63" ht="30" customHeight="1">
      <x:c r="A63" s="18"/>
      <x:c r="B63" s="18"/>
      <x:c r="C63" s="18"/>
      <x:c r="D63" s="18"/>
      <x:c r="E63" s="18"/>
      <x:c r="F63" s="18"/>
      <x:c r="G63" s="18"/>
      <x:c r="H63" s="22"/>
      <x:c r="I63" s="18"/>
      <x:c r="J63" s="18"/>
      <x:c r="K63" s="18"/>
      <x:c r="L63" s="28"/>
      <x:c r="M63" s="18"/>
      <x:c r="N63" s="26"/>
      <x:c r="O63" s="18"/>
      <x:c r="P63" s="18"/>
      <x:c r="Q63" s="18"/>
      <x:c r="R63" s="18"/>
      <x:c r="S63" s="22"/>
      <x:c r="T63" s="18"/>
    </x:row>
    <x:row r="64" ht="30" customHeight="1">
      <x:c r="A64" s="18"/>
      <x:c r="B64" s="18"/>
      <x:c r="C64" s="18"/>
      <x:c r="D64" s="18"/>
      <x:c r="E64" s="18"/>
      <x:c r="F64" s="18"/>
      <x:c r="G64" s="18"/>
      <x:c r="H64" s="22"/>
      <x:c r="I64" s="18"/>
      <x:c r="J64" s="18"/>
      <x:c r="K64" s="18"/>
      <x:c r="L64" s="28"/>
      <x:c r="M64" s="18"/>
      <x:c r="N64" s="26"/>
      <x:c r="O64" s="18"/>
      <x:c r="P64" s="18"/>
      <x:c r="Q64" s="18"/>
      <x:c r="R64" s="18"/>
      <x:c r="S64" s="22"/>
      <x:c r="T64" s="18"/>
    </x:row>
    <x:row r="65" ht="30" customHeight="1">
      <x:c r="A65" s="18"/>
      <x:c r="B65" s="18"/>
      <x:c r="C65" s="18"/>
      <x:c r="D65" s="18"/>
      <x:c r="E65" s="18"/>
      <x:c r="F65" s="18"/>
      <x:c r="G65" s="18"/>
      <x:c r="H65" s="22"/>
      <x:c r="I65" s="18"/>
      <x:c r="J65" s="18"/>
      <x:c r="K65" s="18"/>
      <x:c r="L65" s="28"/>
      <x:c r="M65" s="18"/>
      <x:c r="N65" s="26"/>
      <x:c r="O65" s="18"/>
      <x:c r="P65" s="18"/>
      <x:c r="Q65" s="18"/>
      <x:c r="R65" s="18"/>
      <x:c r="S65" s="22"/>
      <x:c r="T65" s="18"/>
    </x:row>
    <x:row r="66" ht="30" customHeight="1">
      <x:c r="A66" s="18"/>
      <x:c r="B66" s="18"/>
      <x:c r="C66" s="18"/>
      <x:c r="D66" s="18"/>
      <x:c r="E66" s="18"/>
      <x:c r="F66" s="18"/>
      <x:c r="G66" s="18"/>
      <x:c r="H66" s="22"/>
      <x:c r="I66" s="18"/>
      <x:c r="J66" s="18"/>
      <x:c r="K66" s="18"/>
      <x:c r="L66" s="28"/>
      <x:c r="M66" s="18"/>
      <x:c r="N66" s="26"/>
      <x:c r="O66" s="18"/>
      <x:c r="P66" s="18"/>
      <x:c r="Q66" s="18"/>
      <x:c r="R66" s="18"/>
      <x:c r="S66" s="22"/>
      <x:c r="T66" s="18"/>
    </x:row>
    <x:row r="67" ht="30" customHeight="1">
      <x:c r="A67" s="18"/>
      <x:c r="B67" s="18"/>
      <x:c r="C67" s="18"/>
      <x:c r="D67" s="18"/>
      <x:c r="E67" s="18"/>
      <x:c r="F67" s="18"/>
      <x:c r="G67" s="18"/>
      <x:c r="H67" s="22"/>
      <x:c r="I67" s="18"/>
      <x:c r="J67" s="18"/>
      <x:c r="K67" s="18"/>
      <x:c r="L67" s="28"/>
      <x:c r="M67" s="18"/>
      <x:c r="N67" s="26"/>
      <x:c r="O67" s="18"/>
      <x:c r="P67" s="18"/>
      <x:c r="Q67" s="18"/>
      <x:c r="R67" s="18"/>
      <x:c r="S67" s="22"/>
      <x:c r="T67" s="18"/>
    </x:row>
    <x:row r="68" ht="30" customHeight="1">
      <x:c r="A68" s="18"/>
      <x:c r="B68" s="18"/>
      <x:c r="C68" s="18"/>
      <x:c r="D68" s="18"/>
      <x:c r="E68" s="18"/>
      <x:c r="F68" s="18"/>
      <x:c r="G68" s="18"/>
      <x:c r="H68" s="22"/>
      <x:c r="I68" s="18"/>
      <x:c r="J68" s="18"/>
      <x:c r="K68" s="18"/>
      <x:c r="L68" s="28"/>
      <x:c r="M68" s="18"/>
      <x:c r="N68" s="26"/>
      <x:c r="O68" s="18"/>
      <x:c r="P68" s="18"/>
      <x:c r="Q68" s="18"/>
      <x:c r="R68" s="18"/>
      <x:c r="S68" s="22"/>
      <x:c r="T68" s="18"/>
    </x:row>
    <x:row r="69" ht="30" customHeight="1">
      <x:c r="A69" s="18"/>
      <x:c r="B69" s="18"/>
      <x:c r="C69" s="18"/>
      <x:c r="D69" s="18"/>
      <x:c r="E69" s="18"/>
      <x:c r="F69" s="18"/>
      <x:c r="G69" s="18"/>
      <x:c r="H69" s="22"/>
      <x:c r="I69" s="18"/>
      <x:c r="J69" s="18"/>
      <x:c r="K69" s="18"/>
      <x:c r="L69" s="28"/>
      <x:c r="M69" s="18"/>
      <x:c r="N69" s="26"/>
      <x:c r="O69" s="18"/>
      <x:c r="P69" s="18"/>
      <x:c r="Q69" s="18"/>
      <x:c r="R69" s="18"/>
      <x:c r="S69" s="22"/>
      <x:c r="T69" s="18"/>
    </x:row>
    <x:row r="70" ht="30" customHeight="1">
      <x:c r="A70" s="18"/>
      <x:c r="B70" s="18"/>
      <x:c r="C70" s="18"/>
      <x:c r="D70" s="18"/>
      <x:c r="E70" s="18"/>
      <x:c r="F70" s="18"/>
      <x:c r="G70" s="18"/>
      <x:c r="H70" s="22"/>
      <x:c r="I70" s="18"/>
      <x:c r="J70" s="18"/>
      <x:c r="K70" s="18"/>
      <x:c r="L70" s="28"/>
      <x:c r="M70" s="18"/>
      <x:c r="N70" s="26"/>
      <x:c r="O70" s="18"/>
      <x:c r="P70" s="18"/>
      <x:c r="Q70" s="18"/>
      <x:c r="R70" s="18"/>
      <x:c r="S70" s="22"/>
      <x:c r="T70" s="18"/>
    </x:row>
    <x:row r="71" ht="30" customHeight="1">
      <x:c r="A71" s="18"/>
      <x:c r="B71" s="18"/>
      <x:c r="C71" s="18"/>
      <x:c r="D71" s="18"/>
      <x:c r="E71" s="18"/>
      <x:c r="F71" s="18"/>
      <x:c r="G71" s="18"/>
      <x:c r="H71" s="22"/>
      <x:c r="I71" s="18"/>
      <x:c r="J71" s="18"/>
      <x:c r="K71" s="18"/>
      <x:c r="L71" s="28"/>
      <x:c r="M71" s="18"/>
      <x:c r="N71" s="26"/>
      <x:c r="O71" s="18"/>
      <x:c r="P71" s="18"/>
      <x:c r="Q71" s="18"/>
      <x:c r="R71" s="18"/>
      <x:c r="S71" s="22"/>
      <x:c r="T71" s="18"/>
    </x:row>
    <x:row r="72" ht="30" customHeight="1">
      <x:c r="A72" s="18"/>
      <x:c r="B72" s="18"/>
      <x:c r="C72" s="18"/>
      <x:c r="D72" s="18"/>
      <x:c r="E72" s="18"/>
      <x:c r="F72" s="18"/>
      <x:c r="G72" s="18"/>
      <x:c r="H72" s="22"/>
      <x:c r="I72" s="18"/>
      <x:c r="J72" s="18"/>
      <x:c r="K72" s="18"/>
      <x:c r="L72" s="28"/>
      <x:c r="M72" s="18"/>
      <x:c r="N72" s="26"/>
      <x:c r="O72" s="18"/>
      <x:c r="P72" s="18"/>
      <x:c r="Q72" s="18"/>
      <x:c r="R72" s="18"/>
      <x:c r="S72" s="22"/>
      <x:c r="T72" s="18"/>
    </x:row>
    <x:row r="73" ht="30" customHeight="1">
      <x:c r="A73" s="18"/>
      <x:c r="B73" s="18"/>
      <x:c r="C73" s="18"/>
      <x:c r="D73" s="18"/>
      <x:c r="E73" s="18"/>
      <x:c r="F73" s="18"/>
      <x:c r="G73" s="18"/>
      <x:c r="H73" s="22"/>
      <x:c r="I73" s="18"/>
      <x:c r="J73" s="18"/>
      <x:c r="K73" s="18"/>
      <x:c r="L73" s="28"/>
      <x:c r="M73" s="18"/>
      <x:c r="N73" s="26"/>
      <x:c r="O73" s="18"/>
      <x:c r="P73" s="18"/>
      <x:c r="Q73" s="18"/>
      <x:c r="R73" s="18"/>
      <x:c r="S73" s="22"/>
      <x:c r="T73" s="18"/>
    </x:row>
    <x:row r="74" ht="30" customHeight="1">
      <x:c r="A74" s="18"/>
      <x:c r="B74" s="18"/>
      <x:c r="C74" s="18"/>
      <x:c r="D74" s="18"/>
      <x:c r="E74" s="18"/>
      <x:c r="F74" s="18"/>
      <x:c r="G74" s="18"/>
      <x:c r="H74" s="22"/>
      <x:c r="I74" s="18"/>
      <x:c r="J74" s="18"/>
      <x:c r="K74" s="18"/>
      <x:c r="L74" s="28"/>
      <x:c r="M74" s="18"/>
      <x:c r="N74" s="26"/>
      <x:c r="O74" s="18"/>
      <x:c r="P74" s="18"/>
      <x:c r="Q74" s="18"/>
      <x:c r="R74" s="18"/>
      <x:c r="S74" s="22"/>
      <x:c r="T74" s="18"/>
    </x:row>
    <x:row r="75" ht="30" customHeight="1">
      <x:c r="A75" s="18"/>
      <x:c r="B75" s="18"/>
      <x:c r="C75" s="18"/>
      <x:c r="D75" s="18"/>
      <x:c r="E75" s="18"/>
      <x:c r="F75" s="18"/>
      <x:c r="G75" s="18"/>
      <x:c r="H75" s="22"/>
      <x:c r="I75" s="18"/>
      <x:c r="J75" s="18"/>
      <x:c r="K75" s="18"/>
      <x:c r="L75" s="28"/>
      <x:c r="M75" s="18"/>
      <x:c r="N75" s="26"/>
      <x:c r="O75" s="18"/>
      <x:c r="P75" s="18"/>
      <x:c r="Q75" s="18"/>
      <x:c r="R75" s="18"/>
      <x:c r="S75" s="22"/>
      <x:c r="T75" s="18"/>
    </x:row>
    <x:row r="76" ht="30" customHeight="1">
      <x:c r="A76" s="18"/>
      <x:c r="B76" s="18"/>
      <x:c r="C76" s="18"/>
      <x:c r="D76" s="18"/>
      <x:c r="E76" s="18"/>
      <x:c r="F76" s="18"/>
      <x:c r="G76" s="18"/>
      <x:c r="H76" s="22"/>
      <x:c r="I76" s="18"/>
      <x:c r="J76" s="18"/>
      <x:c r="K76" s="18"/>
      <x:c r="L76" s="28"/>
      <x:c r="M76" s="18"/>
      <x:c r="N76" s="26"/>
      <x:c r="O76" s="18"/>
      <x:c r="P76" s="18"/>
      <x:c r="Q76" s="18"/>
      <x:c r="R76" s="18"/>
      <x:c r="S76" s="22"/>
      <x:c r="T76" s="18"/>
    </x:row>
    <x:row r="77" ht="30" customHeight="1">
      <x:c r="A77" s="18"/>
      <x:c r="B77" s="18"/>
      <x:c r="C77" s="18"/>
      <x:c r="D77" s="18"/>
      <x:c r="E77" s="18"/>
      <x:c r="F77" s="18"/>
      <x:c r="G77" s="18"/>
      <x:c r="H77" s="22"/>
      <x:c r="I77" s="18"/>
      <x:c r="J77" s="18"/>
      <x:c r="K77" s="18"/>
      <x:c r="L77" s="28"/>
      <x:c r="M77" s="18"/>
      <x:c r="N77" s="26"/>
      <x:c r="O77" s="18"/>
      <x:c r="P77" s="18"/>
      <x:c r="Q77" s="18"/>
      <x:c r="R77" s="18"/>
      <x:c r="S77" s="22"/>
      <x:c r="T77" s="18"/>
    </x:row>
    <x:row r="78" ht="30" customHeight="1">
      <x:c r="A78" s="18"/>
      <x:c r="B78" s="18"/>
      <x:c r="C78" s="18"/>
      <x:c r="D78" s="18"/>
      <x:c r="E78" s="18"/>
      <x:c r="F78" s="18"/>
      <x:c r="G78" s="18"/>
      <x:c r="H78" s="22"/>
      <x:c r="I78" s="18"/>
      <x:c r="J78" s="18"/>
      <x:c r="K78" s="18"/>
      <x:c r="L78" s="28"/>
      <x:c r="M78" s="18"/>
      <x:c r="N78" s="26"/>
      <x:c r="O78" s="18"/>
      <x:c r="P78" s="18"/>
      <x:c r="Q78" s="18"/>
      <x:c r="R78" s="18"/>
      <x:c r="S78" s="22"/>
      <x:c r="T78" s="18"/>
    </x:row>
    <x:row r="79" ht="30" customHeight="1">
      <x:c r="A79" s="18"/>
      <x:c r="B79" s="18"/>
      <x:c r="C79" s="18"/>
      <x:c r="D79" s="18"/>
      <x:c r="E79" s="18"/>
      <x:c r="F79" s="18"/>
      <x:c r="G79" s="18"/>
      <x:c r="H79" s="22"/>
      <x:c r="I79" s="18"/>
      <x:c r="J79" s="18"/>
      <x:c r="K79" s="18"/>
      <x:c r="L79" s="28"/>
      <x:c r="M79" s="18"/>
      <x:c r="N79" s="26"/>
      <x:c r="O79" s="18"/>
      <x:c r="P79" s="18"/>
      <x:c r="Q79" s="18"/>
      <x:c r="R79" s="18"/>
      <x:c r="S79" s="22"/>
      <x:c r="T79" s="18"/>
    </x:row>
    <x:row r="80" ht="30" customHeight="1">
      <x:c r="A80" s="18"/>
      <x:c r="B80" s="18"/>
      <x:c r="C80" s="18"/>
      <x:c r="D80" s="18"/>
      <x:c r="E80" s="18"/>
      <x:c r="F80" s="18"/>
      <x:c r="G80" s="18"/>
      <x:c r="H80" s="22"/>
      <x:c r="I80" s="18"/>
      <x:c r="J80" s="18"/>
      <x:c r="K80" s="18"/>
      <x:c r="L80" s="28"/>
      <x:c r="M80" s="18"/>
      <x:c r="N80" s="26"/>
      <x:c r="O80" s="18"/>
      <x:c r="P80" s="18"/>
      <x:c r="Q80" s="18"/>
      <x:c r="R80" s="18"/>
      <x:c r="S80" s="22"/>
      <x:c r="T80" s="18"/>
    </x:row>
    <x:row r="81" ht="30" customHeight="1">
      <x:c r="A81" s="18"/>
      <x:c r="B81" s="18"/>
      <x:c r="C81" s="18"/>
      <x:c r="D81" s="18"/>
      <x:c r="E81" s="18"/>
      <x:c r="F81" s="18"/>
      <x:c r="G81" s="18"/>
      <x:c r="H81" s="22"/>
      <x:c r="I81" s="18"/>
      <x:c r="J81" s="18"/>
      <x:c r="K81" s="18"/>
      <x:c r="L81" s="28"/>
      <x:c r="M81" s="18"/>
      <x:c r="N81" s="26"/>
      <x:c r="O81" s="18"/>
      <x:c r="P81" s="18"/>
      <x:c r="Q81" s="18"/>
      <x:c r="R81" s="18"/>
      <x:c r="S81" s="22"/>
      <x:c r="T81" s="18"/>
    </x:row>
    <x:row r="82" ht="30" customHeight="1">
      <x:c r="A82" s="18"/>
      <x:c r="B82" s="18"/>
      <x:c r="C82" s="18"/>
      <x:c r="D82" s="18"/>
      <x:c r="E82" s="18"/>
      <x:c r="F82" s="18"/>
      <x:c r="G82" s="18"/>
      <x:c r="H82" s="22"/>
      <x:c r="I82" s="18"/>
      <x:c r="J82" s="18"/>
      <x:c r="K82" s="18"/>
      <x:c r="L82" s="28"/>
      <x:c r="M82" s="18"/>
      <x:c r="N82" s="26"/>
      <x:c r="O82" s="18"/>
      <x:c r="P82" s="18"/>
      <x:c r="Q82" s="18"/>
      <x:c r="R82" s="18"/>
      <x:c r="S82" s="22"/>
      <x:c r="T82" s="18"/>
    </x:row>
    <x:row r="83" ht="30" customHeight="1">
      <x:c r="A83" s="18"/>
      <x:c r="B83" s="18"/>
      <x:c r="C83" s="18"/>
      <x:c r="D83" s="18"/>
      <x:c r="E83" s="18"/>
      <x:c r="F83" s="18"/>
      <x:c r="G83" s="18"/>
      <x:c r="H83" s="22"/>
      <x:c r="I83" s="18"/>
      <x:c r="J83" s="18"/>
      <x:c r="K83" s="18"/>
      <x:c r="L83" s="28"/>
      <x:c r="M83" s="18"/>
      <x:c r="N83" s="26"/>
      <x:c r="O83" s="18"/>
      <x:c r="P83" s="18"/>
      <x:c r="Q83" s="18"/>
      <x:c r="R83" s="18"/>
      <x:c r="S83" s="22"/>
      <x:c r="T83" s="18"/>
    </x:row>
    <x:row r="84" ht="30" customHeight="1">
      <x:c r="A84" s="18"/>
      <x:c r="B84" s="18"/>
      <x:c r="C84" s="18"/>
      <x:c r="D84" s="18"/>
      <x:c r="E84" s="18"/>
      <x:c r="F84" s="18"/>
      <x:c r="G84" s="18"/>
      <x:c r="H84" s="22"/>
      <x:c r="I84" s="18"/>
      <x:c r="J84" s="18"/>
      <x:c r="K84" s="18"/>
      <x:c r="L84" s="28"/>
      <x:c r="M84" s="18"/>
      <x:c r="N84" s="26"/>
      <x:c r="O84" s="18"/>
      <x:c r="P84" s="18"/>
      <x:c r="Q84" s="18"/>
      <x:c r="R84" s="18"/>
      <x:c r="S84" s="22"/>
      <x:c r="T84" s="18"/>
    </x:row>
    <x:row r="85" ht="30" customHeight="1">
      <x:c r="A85" s="18"/>
      <x:c r="B85" s="18"/>
      <x:c r="C85" s="18"/>
      <x:c r="D85" s="18"/>
      <x:c r="E85" s="18"/>
      <x:c r="F85" s="18"/>
      <x:c r="G85" s="18"/>
      <x:c r="H85" s="22"/>
      <x:c r="I85" s="18"/>
      <x:c r="J85" s="18"/>
      <x:c r="K85" s="18"/>
      <x:c r="L85" s="28"/>
      <x:c r="M85" s="18"/>
      <x:c r="N85" s="26"/>
      <x:c r="O85" s="18"/>
      <x:c r="P85" s="18"/>
      <x:c r="Q85" s="18"/>
      <x:c r="R85" s="18"/>
      <x:c r="S85" s="22"/>
      <x:c r="T85" s="18"/>
    </x:row>
    <x:row r="86" ht="30" customHeight="1">
      <x:c r="A86" s="18"/>
      <x:c r="B86" s="18"/>
      <x:c r="C86" s="18"/>
      <x:c r="D86" s="18"/>
      <x:c r="E86" s="18"/>
      <x:c r="F86" s="18"/>
      <x:c r="G86" s="18"/>
      <x:c r="H86" s="22"/>
      <x:c r="I86" s="18"/>
      <x:c r="J86" s="18"/>
      <x:c r="K86" s="18"/>
      <x:c r="L86" s="28"/>
      <x:c r="M86" s="18"/>
      <x:c r="N86" s="26"/>
      <x:c r="O86" s="18"/>
      <x:c r="P86" s="18"/>
      <x:c r="Q86" s="18"/>
      <x:c r="R86" s="18"/>
      <x:c r="S86" s="22"/>
      <x:c r="T86" s="18"/>
    </x:row>
    <x:row r="87" ht="30" customHeight="1">
      <x:c r="A87" s="18"/>
      <x:c r="B87" s="18"/>
      <x:c r="C87" s="18"/>
      <x:c r="D87" s="18"/>
      <x:c r="E87" s="18"/>
      <x:c r="F87" s="18"/>
      <x:c r="G87" s="18"/>
      <x:c r="H87" s="22"/>
      <x:c r="I87" s="18"/>
      <x:c r="J87" s="18"/>
      <x:c r="K87" s="18"/>
      <x:c r="L87" s="28"/>
      <x:c r="M87" s="18"/>
      <x:c r="N87" s="26"/>
      <x:c r="O87" s="18"/>
      <x:c r="P87" s="18"/>
      <x:c r="Q87" s="18"/>
      <x:c r="R87" s="18"/>
      <x:c r="S87" s="22"/>
      <x:c r="T87" s="18"/>
    </x:row>
    <x:row r="88" ht="30" customHeight="1">
      <x:c r="A88" s="18"/>
      <x:c r="B88" s="18"/>
      <x:c r="C88" s="18"/>
      <x:c r="D88" s="18"/>
      <x:c r="E88" s="18"/>
      <x:c r="F88" s="18"/>
      <x:c r="G88" s="18"/>
      <x:c r="H88" s="22"/>
      <x:c r="I88" s="18"/>
      <x:c r="J88" s="18"/>
      <x:c r="K88" s="18"/>
      <x:c r="L88" s="28"/>
      <x:c r="M88" s="18"/>
      <x:c r="N88" s="26"/>
      <x:c r="O88" s="18"/>
      <x:c r="P88" s="18"/>
      <x:c r="Q88" s="18"/>
      <x:c r="R88" s="18"/>
      <x:c r="S88" s="22"/>
      <x:c r="T88" s="18"/>
    </x:row>
    <x:row r="89" ht="30" customHeight="1">
      <x:c r="A89" s="18"/>
      <x:c r="B89" s="18"/>
      <x:c r="C89" s="18"/>
      <x:c r="D89" s="18"/>
      <x:c r="E89" s="18"/>
      <x:c r="F89" s="18"/>
      <x:c r="G89" s="18"/>
      <x:c r="H89" s="22"/>
      <x:c r="I89" s="18"/>
      <x:c r="J89" s="18"/>
      <x:c r="K89" s="18"/>
      <x:c r="L89" s="28"/>
      <x:c r="M89" s="18"/>
      <x:c r="N89" s="26"/>
      <x:c r="O89" s="18"/>
      <x:c r="P89" s="18"/>
      <x:c r="Q89" s="18"/>
      <x:c r="R89" s="18"/>
      <x:c r="S89" s="22"/>
      <x:c r="T89" s="18"/>
    </x:row>
    <x:row r="90" ht="30" customHeight="1">
      <x:c r="A90" s="18"/>
      <x:c r="B90" s="18"/>
      <x:c r="C90" s="18"/>
      <x:c r="D90" s="18"/>
      <x:c r="E90" s="18"/>
      <x:c r="F90" s="18"/>
      <x:c r="G90" s="18"/>
      <x:c r="H90" s="22"/>
      <x:c r="I90" s="18"/>
      <x:c r="J90" s="18"/>
      <x:c r="K90" s="18"/>
      <x:c r="L90" s="28"/>
      <x:c r="M90" s="18"/>
      <x:c r="N90" s="26"/>
      <x:c r="O90" s="18"/>
      <x:c r="P90" s="18"/>
      <x:c r="Q90" s="18"/>
      <x:c r="R90" s="18"/>
      <x:c r="S90" s="22"/>
      <x:c r="T90" s="18"/>
    </x:row>
    <x:row r="91" ht="30" customHeight="1">
      <x:c r="A91" s="18"/>
      <x:c r="B91" s="18"/>
      <x:c r="C91" s="18"/>
      <x:c r="D91" s="18"/>
      <x:c r="E91" s="18"/>
      <x:c r="F91" s="18"/>
      <x:c r="G91" s="18"/>
      <x:c r="H91" s="22"/>
      <x:c r="I91" s="18"/>
      <x:c r="J91" s="18"/>
      <x:c r="K91" s="18"/>
      <x:c r="L91" s="28"/>
      <x:c r="M91" s="18"/>
      <x:c r="N91" s="26"/>
      <x:c r="O91" s="18"/>
      <x:c r="P91" s="18"/>
      <x:c r="Q91" s="18"/>
      <x:c r="R91" s="18"/>
      <x:c r="S91" s="22"/>
      <x:c r="T91" s="18"/>
    </x:row>
    <x:row r="92" ht="30" customHeight="1">
      <x:c r="A92" s="18"/>
      <x:c r="B92" s="18"/>
      <x:c r="C92" s="18"/>
      <x:c r="D92" s="18"/>
      <x:c r="E92" s="18"/>
      <x:c r="F92" s="18"/>
      <x:c r="G92" s="18"/>
      <x:c r="H92" s="22"/>
      <x:c r="I92" s="18"/>
      <x:c r="J92" s="18"/>
      <x:c r="K92" s="18"/>
      <x:c r="L92" s="28"/>
      <x:c r="M92" s="18"/>
      <x:c r="N92" s="26"/>
      <x:c r="O92" s="18"/>
      <x:c r="P92" s="18"/>
      <x:c r="Q92" s="18"/>
      <x:c r="R92" s="18"/>
      <x:c r="S92" s="22"/>
      <x:c r="T92" s="18"/>
    </x:row>
    <x:row r="93" ht="30" customHeight="1">
      <x:c r="A93" s="18"/>
      <x:c r="B93" s="18"/>
      <x:c r="C93" s="18"/>
      <x:c r="D93" s="18"/>
      <x:c r="E93" s="18"/>
      <x:c r="F93" s="18"/>
      <x:c r="G93" s="18"/>
      <x:c r="H93" s="22"/>
      <x:c r="I93" s="18"/>
      <x:c r="J93" s="18"/>
      <x:c r="K93" s="18"/>
      <x:c r="L93" s="28"/>
      <x:c r="M93" s="18"/>
      <x:c r="N93" s="26"/>
      <x:c r="O93" s="18"/>
      <x:c r="P93" s="18"/>
      <x:c r="Q93" s="18"/>
      <x:c r="R93" s="18"/>
      <x:c r="S93" s="22"/>
      <x:c r="T93" s="18"/>
    </x:row>
    <x:row r="94" ht="30" customHeight="1">
      <x:c r="A94" s="18"/>
      <x:c r="B94" s="18"/>
      <x:c r="C94" s="18"/>
      <x:c r="D94" s="18"/>
      <x:c r="E94" s="18"/>
      <x:c r="F94" s="18"/>
      <x:c r="G94" s="18"/>
      <x:c r="H94" s="22"/>
      <x:c r="I94" s="18"/>
      <x:c r="J94" s="18"/>
      <x:c r="K94" s="18"/>
      <x:c r="L94" s="28"/>
      <x:c r="M94" s="18"/>
      <x:c r="N94" s="26"/>
      <x:c r="O94" s="18"/>
      <x:c r="P94" s="18"/>
      <x:c r="Q94" s="18"/>
      <x:c r="R94" s="18"/>
      <x:c r="S94" s="22"/>
      <x:c r="T94" s="18"/>
    </x:row>
    <x:row r="95" ht="30" customHeight="1">
      <x:c r="A95" s="18"/>
      <x:c r="B95" s="18"/>
      <x:c r="C95" s="18"/>
      <x:c r="D95" s="18"/>
      <x:c r="E95" s="18"/>
      <x:c r="F95" s="18"/>
      <x:c r="G95" s="18"/>
      <x:c r="H95" s="22"/>
      <x:c r="I95" s="18"/>
      <x:c r="J95" s="18"/>
      <x:c r="K95" s="18"/>
      <x:c r="L95" s="28"/>
      <x:c r="M95" s="18"/>
      <x:c r="N95" s="26"/>
      <x:c r="O95" s="18"/>
      <x:c r="P95" s="18"/>
      <x:c r="Q95" s="18"/>
      <x:c r="R95" s="18"/>
      <x:c r="S95" s="22"/>
      <x:c r="T95" s="18"/>
    </x:row>
    <x:row r="96" ht="30" customHeight="1">
      <x:c r="A96" s="18"/>
      <x:c r="B96" s="18"/>
      <x:c r="C96" s="18"/>
      <x:c r="D96" s="18"/>
      <x:c r="E96" s="18"/>
      <x:c r="F96" s="18"/>
      <x:c r="G96" s="18"/>
      <x:c r="H96" s="22"/>
      <x:c r="I96" s="18"/>
      <x:c r="J96" s="18"/>
      <x:c r="K96" s="18"/>
      <x:c r="L96" s="28"/>
      <x:c r="M96" s="18"/>
      <x:c r="N96" s="26"/>
      <x:c r="O96" s="18"/>
      <x:c r="P96" s="18"/>
      <x:c r="Q96" s="18"/>
      <x:c r="R96" s="18"/>
      <x:c r="S96" s="22"/>
      <x:c r="T96" s="18"/>
    </x:row>
    <x:row r="97" ht="30" customHeight="1">
      <x:c r="A97" s="18"/>
      <x:c r="B97" s="18"/>
      <x:c r="C97" s="18"/>
      <x:c r="D97" s="18"/>
      <x:c r="E97" s="18"/>
      <x:c r="F97" s="18"/>
      <x:c r="G97" s="18"/>
      <x:c r="H97" s="22"/>
      <x:c r="I97" s="18"/>
      <x:c r="J97" s="18"/>
      <x:c r="K97" s="18"/>
      <x:c r="L97" s="28"/>
      <x:c r="M97" s="18"/>
      <x:c r="N97" s="26"/>
      <x:c r="O97" s="18"/>
      <x:c r="P97" s="18"/>
      <x:c r="Q97" s="18"/>
      <x:c r="R97" s="18"/>
      <x:c r="S97" s="22"/>
      <x:c r="T97" s="18"/>
    </x:row>
    <x:row r="98" ht="30" customHeight="1">
      <x:c r="A98" s="18"/>
      <x:c r="B98" s="18"/>
      <x:c r="C98" s="18"/>
      <x:c r="D98" s="18"/>
      <x:c r="E98" s="18"/>
      <x:c r="F98" s="18"/>
      <x:c r="G98" s="18"/>
      <x:c r="H98" s="22"/>
      <x:c r="I98" s="18"/>
      <x:c r="J98" s="18"/>
      <x:c r="K98" s="18"/>
      <x:c r="L98" s="28"/>
      <x:c r="M98" s="18"/>
      <x:c r="N98" s="26"/>
      <x:c r="O98" s="18"/>
      <x:c r="P98" s="18"/>
      <x:c r="Q98" s="18"/>
      <x:c r="R98" s="18"/>
      <x:c r="S98" s="22"/>
      <x:c r="T98" s="18"/>
    </x:row>
    <x:row r="99" ht="30" customHeight="1">
      <x:c r="A99" s="18"/>
      <x:c r="B99" s="18"/>
      <x:c r="C99" s="18"/>
      <x:c r="D99" s="18"/>
      <x:c r="E99" s="18"/>
      <x:c r="F99" s="18"/>
      <x:c r="G99" s="18"/>
      <x:c r="H99" s="22"/>
      <x:c r="I99" s="18"/>
      <x:c r="J99" s="18"/>
      <x:c r="K99" s="18"/>
      <x:c r="L99" s="28"/>
      <x:c r="M99" s="18"/>
      <x:c r="N99" s="26"/>
      <x:c r="O99" s="18"/>
      <x:c r="P99" s="18"/>
      <x:c r="Q99" s="18"/>
      <x:c r="R99" s="18"/>
      <x:c r="S99" s="22"/>
      <x:c r="T99" s="18"/>
    </x:row>
    <x:row r="100" ht="30" customHeight="1">
      <x:c r="A100" s="18"/>
      <x:c r="B100" s="18"/>
      <x:c r="C100" s="18"/>
      <x:c r="D100" s="18"/>
      <x:c r="E100" s="18"/>
      <x:c r="F100" s="18"/>
      <x:c r="G100" s="18"/>
      <x:c r="H100" s="22"/>
      <x:c r="I100" s="18"/>
      <x:c r="J100" s="18"/>
      <x:c r="K100" s="18"/>
      <x:c r="L100" s="28"/>
      <x:c r="M100" s="18"/>
      <x:c r="N100" s="26"/>
      <x:c r="O100" s="18"/>
      <x:c r="P100" s="18"/>
      <x:c r="Q100" s="18"/>
      <x:c r="R100" s="18"/>
      <x:c r="S100" s="22"/>
      <x:c r="T100" s="18"/>
    </x:row>
    <x:row r="101" ht="30" customHeight="1">
      <x:c r="A101" s="18"/>
      <x:c r="B101" s="18"/>
      <x:c r="C101" s="18"/>
      <x:c r="D101" s="18"/>
      <x:c r="E101" s="18"/>
      <x:c r="F101" s="18"/>
      <x:c r="G101" s="18"/>
      <x:c r="H101" s="22"/>
      <x:c r="I101" s="18"/>
      <x:c r="J101" s="18"/>
      <x:c r="K101" s="18"/>
      <x:c r="L101" s="28"/>
      <x:c r="M101" s="18"/>
      <x:c r="N101" s="26"/>
      <x:c r="O101" s="18"/>
      <x:c r="P101" s="18"/>
      <x:c r="Q101" s="18"/>
      <x:c r="R101" s="18"/>
      <x:c r="S101" s="22"/>
      <x:c r="T101" s="18"/>
    </x:row>
    <x:row r="102" ht="30" customHeight="1">
      <x:c r="A102" s="18"/>
      <x:c r="B102" s="18"/>
      <x:c r="C102" s="18"/>
      <x:c r="D102" s="18"/>
      <x:c r="E102" s="18"/>
      <x:c r="F102" s="18"/>
      <x:c r="G102" s="18"/>
      <x:c r="H102" s="22"/>
      <x:c r="I102" s="18"/>
      <x:c r="J102" s="18"/>
      <x:c r="K102" s="18"/>
      <x:c r="L102" s="28"/>
      <x:c r="M102" s="18"/>
      <x:c r="N102" s="26"/>
      <x:c r="O102" s="18"/>
      <x:c r="P102" s="18"/>
      <x:c r="Q102" s="18"/>
      <x:c r="R102" s="18"/>
      <x:c r="S102" s="22"/>
      <x:c r="T102" s="18"/>
    </x:row>
    <x:row r="103" ht="30" customHeight="1">
      <x:c r="A103" s="18"/>
      <x:c r="B103" s="18"/>
      <x:c r="C103" s="18"/>
      <x:c r="D103" s="18"/>
      <x:c r="E103" s="18"/>
      <x:c r="F103" s="18"/>
      <x:c r="G103" s="18"/>
      <x:c r="H103" s="22"/>
      <x:c r="I103" s="18"/>
      <x:c r="J103" s="18"/>
      <x:c r="K103" s="18"/>
      <x:c r="L103" s="28"/>
      <x:c r="M103" s="18"/>
      <x:c r="N103" s="26"/>
      <x:c r="O103" s="18"/>
      <x:c r="P103" s="18"/>
      <x:c r="Q103" s="18"/>
      <x:c r="R103" s="18"/>
      <x:c r="S103" s="22"/>
      <x:c r="T103" s="18"/>
    </x:row>
    <x:row r="104" ht="30" customHeight="1">
      <x:c r="A104" s="18"/>
      <x:c r="B104" s="18"/>
      <x:c r="C104" s="18"/>
      <x:c r="D104" s="18"/>
      <x:c r="E104" s="18"/>
      <x:c r="F104" s="18"/>
      <x:c r="G104" s="18"/>
      <x:c r="H104" s="22"/>
      <x:c r="I104" s="18"/>
      <x:c r="J104" s="18"/>
      <x:c r="K104" s="18"/>
      <x:c r="L104" s="28"/>
      <x:c r="M104" s="18"/>
      <x:c r="N104" s="26"/>
      <x:c r="O104" s="18"/>
      <x:c r="P104" s="18"/>
      <x:c r="Q104" s="18"/>
      <x:c r="R104" s="18"/>
      <x:c r="S104" s="22"/>
      <x:c r="T104" s="18"/>
    </x:row>
    <x:row r="105" ht="30" customHeight="1">
      <x:c r="A105" s="18"/>
      <x:c r="B105" s="18"/>
      <x:c r="C105" s="18"/>
      <x:c r="D105" s="18"/>
      <x:c r="E105" s="18"/>
      <x:c r="F105" s="18"/>
      <x:c r="G105" s="18"/>
      <x:c r="H105" s="22"/>
      <x:c r="I105" s="18"/>
      <x:c r="J105" s="18"/>
      <x:c r="K105" s="18"/>
      <x:c r="L105" s="28"/>
      <x:c r="M105" s="18"/>
      <x:c r="N105" s="26"/>
      <x:c r="O105" s="18"/>
      <x:c r="P105" s="18"/>
      <x:c r="Q105" s="18"/>
      <x:c r="R105" s="18"/>
      <x:c r="S105" s="22"/>
      <x:c r="T105" s="18"/>
    </x:row>
  </x:sheetData>
  <x:mergeCells>
    <x:mergeCell ref="A1:J1"/>
    <x:mergeCell ref="A2:J3"/>
  </x:mergeCells>
  <x:conditionalFormatting sqref="J6:J505">
    <x:cfRule type="expression" dxfId="0" priority="1">
      <x:formula>J6="P0"</x:formula>
    </x:cfRule>
    <x:cfRule type="expression" dxfId="1" priority="2">
      <x:formula>J6="P1"</x:formula>
    </x:cfRule>
  </x:conditionalFormatting>
  <x:conditionalFormatting sqref="O6:O505">
    <x:cfRule type="expression" dxfId="2" priority="3">
      <x:formula>O6="Blocked"</x:formula>
    </x:cfRule>
  </x:conditionalFormatting>
  <x:conditionalFormatting sqref="N6:N505">
    <x:cfRule type="dataBar" priority="4">
      <x:dataBar>
        <x:cfvo type="min"/>
        <x:cfvo type="max"/>
        <x:color rgb="FF157A7E"/>
      </x:dataBar>
      <x:extLst>
        <x:ext xmlns:x14="http://schemas.microsoft.com/office/spreadsheetml/2009/9/main" uri="{B025F937-C7B1-47D3-B67F-A62EFF666E3E}">
          <x14:id>{2CB3150B-6712-36EF-7A61-078B58C9D555}</x14:id>
        </x:ext>
      </x:extLst>
    </x:cfRule>
  </x:conditionalFormatting>
  <x:dataValidations count="2">
    <x:dataValidation type="list" sqref="O6:O505">
      <x:formula1>"Not tested,Proposed,Needs recheck,In progress,Blocked,Awaiting review,Approved,Implemented,Verified,Closed,Not applicable"</x:formula1>
    </x:dataValidation>
    <x:dataValidation type="list" sqref="J6:J505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e7586ad38d48f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2CB3150B-6712-36EF-7A61-078B58C9D555}">
            <x14:dataBar gradient="1">
              <x14:cfvo type="min"/>
              <x14:cfvo type="max"/>
              <x14:fillColor rgb="FF157A7E"/>
            </x14:dataBar>
          </x14:cfRule>
          <xm:sqref>N6:N505</xm:sqref>
        </x14:conditionalFormatting>
      </x14:conditionalFormattings>
    </x:ext>
  </x:extLst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3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8" hidden="0" customWidth="1"/>
  </x:cols>
  <x:sheetData>
    <x:row r="1" ht="34" customHeight="1">
      <x:c r="A1" s="3" t="str">
        <x:v>CHANGE 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Record deployed changes separately from proposals, then compare eligible non-overlapping cohorts.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change_id</x:v>
      </x:c>
      <x:c r="B5" s="12" t="str">
        <x:v>ledger_reference</x:v>
      </x:c>
      <x:c r="C5" s="12" t="str">
        <x:v>change_date</x:v>
      </x:c>
      <x:c r="D5" s="12" t="str">
        <x:v>change_type</x:v>
      </x:c>
      <x:c r="E5" s="12" t="str">
        <x:v>scope</x:v>
      </x:c>
      <x:c r="F5" s="12" t="str">
        <x:v>description</x:v>
      </x:c>
      <x:c r="G5" s="12" t="str">
        <x:v>commit_or_deployment</x:v>
      </x:c>
      <x:c r="H5" s="12" t="str">
        <x:v>implementation_status</x:v>
      </x:c>
      <x:c r="I5" s="12" t="str">
        <x:v>before_window</x:v>
      </x:c>
      <x:c r="J5" s="12" t="str">
        <x:v>after_window</x:v>
      </x:c>
      <x:c r="K5" s="12" t="str">
        <x:v>verification</x:v>
      </x:c>
      <x:c r="L5" s="12" t="str">
        <x:v>next_measurement</x:v>
      </x:c>
      <x:c r="M5" s="12" t="str">
        <x:v>evidence</x:v>
      </x:c>
    </x:row>
    <x:row r="6" ht="85" customHeight="1">
      <x:c r="A6" s="18" t="str">
        <x:v>HIST-GA4-REPAIR</x:v>
      </x:c>
      <x:c r="B6" s="18" t="str">
        <x:v>§47</x:v>
      </x:c>
      <x:c r="C6" s="22" t="n">
        <x:v>46274</x:v>
      </x:c>
      <x:c r="D6" s="18" t="str">
        <x:v>Measurement repair</x:v>
      </x:c>
      <x:c r="E6" s="18" t="str">
        <x:v>Production frontend</x:v>
      </x:c>
      <x:c r="F6" s="18" t="str">
        <x:v>Repo records corrected tag G-SP48D9LJJ5 and restored collection</x:v>
      </x:c>
      <x:c r="G6" s="18" t="str">
        <x:v>2f1cd860-f93e-4dfc-b2e4-4611771ac3f9</x:v>
      </x:c>
      <x:c r="H6" s="18" t="str">
        <x:v>Historically documented</x:v>
      </x:c>
      <x:c r="I6" s="18"/>
      <x:c r="J6" s="18"/>
      <x:c r="K6" s="18" t="str">
        <x:v>Realtime confirmed in dated repo review; not rechecked here</x:v>
      </x:c>
      <x:c r="L6" s="18"/>
      <x:c r="M6" s="18" t="str">
        <x:v>https://github.com/myglobalhealthonline/global-health-website/blob/main/CLAUDE.md</x:v>
      </x:c>
    </x:row>
    <x:row r="7" ht="85" customHeight="1">
      <x:c r="A7" s="18" t="str">
        <x:v>AUDIT-PACK-001</x:v>
      </x:c>
      <x:c r="B7" s="18"/>
      <x:c r="C7" s="22" t="n">
        <x:v>46280</x:v>
      </x:c>
      <x:c r="D7" s="18" t="str">
        <x:v>Audit preparation</x:v>
      </x:c>
      <x:c r="E7" s="18" t="str">
        <x:v>Local deliverables only</x:v>
      </x:c>
      <x:c r="F7" s="18" t="str">
        <x:v>Created audit prompt and starter workbook. No production, repository, analytics or content changes.</x:v>
      </x:c>
      <x:c r="G7" s="18"/>
      <x:c r="H7" s="18" t="str">
        <x:v>Delivered locally</x:v>
      </x:c>
      <x:c r="I7" s="18"/>
      <x:c r="J7" s="18"/>
      <x:c r="K7" s="18" t="str">
        <x:v>Config and selected dated records read; full audit not run</x:v>
      </x:c>
      <x:c r="L7" s="18"/>
      <x:c r="M7" s="18" t="str">
        <x:v>https://github.com/myglobalhealthonline/global-health-website/blob/main/seo/README.md</x:v>
      </x:c>
    </x:row>
    <x:row r="8" ht="30" customHeight="1">
      <x:c r="A8" s="18"/>
      <x:c r="B8" s="18"/>
      <x:c r="C8" s="22"/>
      <x:c r="D8" s="18"/>
      <x:c r="E8" s="18"/>
      <x:c r="F8" s="18"/>
      <x:c r="G8" s="18"/>
      <x:c r="H8" s="18"/>
      <x:c r="I8" s="18"/>
      <x:c r="J8" s="18"/>
      <x:c r="K8" s="18"/>
      <x:c r="L8" s="18"/>
      <x:c r="M8" s="18"/>
    </x:row>
    <x:row r="9" ht="30" customHeight="1">
      <x:c r="A9" s="18"/>
      <x:c r="B9" s="18"/>
      <x:c r="C9" s="22"/>
      <x:c r="D9" s="18"/>
      <x:c r="E9" s="18"/>
      <x:c r="F9" s="18"/>
      <x:c r="G9" s="18"/>
      <x:c r="H9" s="18"/>
      <x:c r="I9" s="18"/>
      <x:c r="J9" s="18"/>
      <x:c r="K9" s="18"/>
      <x:c r="L9" s="18"/>
      <x:c r="M9" s="18"/>
    </x:row>
    <x:row r="10" ht="30" customHeight="1">
      <x:c r="A10" s="18"/>
      <x:c r="B10" s="18"/>
      <x:c r="C10" s="22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 ht="30" customHeight="1">
      <x:c r="A11" s="18"/>
      <x:c r="B11" s="18"/>
      <x:c r="C11" s="22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</x:row>
    <x:row r="12" ht="30" customHeight="1">
      <x:c r="A12" s="18"/>
      <x:c r="B12" s="18"/>
      <x:c r="C12" s="22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 ht="30" customHeight="1">
      <x:c r="A13" s="18"/>
      <x:c r="B13" s="18"/>
      <x:c r="C13" s="22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 ht="30" customHeight="1">
      <x:c r="A14" s="18"/>
      <x:c r="B14" s="18"/>
      <x:c r="C14" s="22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 ht="30" customHeight="1">
      <x:c r="A15" s="18"/>
      <x:c r="B15" s="18"/>
      <x:c r="C15" s="22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 ht="30" customHeight="1">
      <x:c r="A16" s="18"/>
      <x:c r="B16" s="18"/>
      <x:c r="C16" s="22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 ht="30" customHeight="1">
      <x:c r="A17" s="18"/>
      <x:c r="B17" s="18"/>
      <x:c r="C17" s="22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 ht="30" customHeight="1">
      <x:c r="A18" s="18"/>
      <x:c r="B18" s="18"/>
      <x:c r="C18" s="22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</x:row>
    <x:row r="19" ht="30" customHeight="1">
      <x:c r="A19" s="18"/>
      <x:c r="B19" s="18"/>
      <x:c r="C19" s="22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</x:row>
    <x:row r="20" ht="30" customHeight="1">
      <x:c r="A20" s="18"/>
      <x:c r="B20" s="18"/>
      <x:c r="C20" s="22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</x:row>
    <x:row r="21" ht="30" customHeight="1">
      <x:c r="A21" s="18"/>
      <x:c r="B21" s="18"/>
      <x:c r="C21" s="22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</x:row>
    <x:row r="22" ht="30" customHeight="1">
      <x:c r="A22" s="18"/>
      <x:c r="B22" s="18"/>
      <x:c r="C22" s="22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 ht="30" customHeight="1">
      <x:c r="A23" s="18"/>
      <x:c r="B23" s="18"/>
      <x:c r="C23" s="22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 ht="30" customHeight="1">
      <x:c r="A24" s="18"/>
      <x:c r="B24" s="18"/>
      <x:c r="C24" s="22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 ht="30" customHeight="1">
      <x:c r="A25" s="18"/>
      <x:c r="B25" s="18"/>
      <x:c r="C25" s="22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 ht="30" customHeight="1">
      <x:c r="A26" s="18"/>
      <x:c r="B26" s="18"/>
      <x:c r="C26" s="22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 ht="30" customHeight="1">
      <x:c r="A27" s="18"/>
      <x:c r="B27" s="18"/>
      <x:c r="C27" s="22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 ht="30" customHeight="1">
      <x:c r="A28" s="18"/>
      <x:c r="B28" s="18"/>
      <x:c r="C28" s="22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 ht="30" customHeight="1">
      <x:c r="A29" s="18"/>
      <x:c r="B29" s="18"/>
      <x:c r="C29" s="22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 ht="30" customHeight="1">
      <x:c r="A30" s="18"/>
      <x:c r="B30" s="18"/>
      <x:c r="C30" s="22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 ht="30" customHeight="1">
      <x:c r="A31" s="18"/>
      <x:c r="B31" s="18"/>
      <x:c r="C31" s="22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 ht="30" customHeight="1">
      <x:c r="A32" s="18"/>
      <x:c r="B32" s="18"/>
      <x:c r="C32" s="22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 ht="30" customHeight="1">
      <x:c r="A33" s="18"/>
      <x:c r="B33" s="18"/>
      <x:c r="C33" s="22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 ht="30" customHeight="1">
      <x:c r="A34" s="18"/>
      <x:c r="B34" s="18"/>
      <x:c r="C34" s="22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 ht="30" customHeight="1">
      <x:c r="A35" s="18"/>
      <x:c r="B35" s="18"/>
      <x:c r="C35" s="22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 ht="30" customHeight="1">
      <x:c r="A36" s="18"/>
      <x:c r="B36" s="18"/>
      <x:c r="C36" s="22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 ht="30" customHeight="1">
      <x:c r="A37" s="18"/>
      <x:c r="B37" s="18"/>
      <x:c r="C37" s="22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 ht="30" customHeight="1">
      <x:c r="A38" s="18"/>
      <x:c r="B38" s="18"/>
      <x:c r="C38" s="22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 ht="30" customHeight="1">
      <x:c r="A39" s="18"/>
      <x:c r="B39" s="18"/>
      <x:c r="C39" s="22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 ht="30" customHeight="1">
      <x:c r="A40" s="18"/>
      <x:c r="B40" s="18"/>
      <x:c r="C40" s="22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  <x:row r="41" ht="30" customHeight="1">
      <x:c r="A41" s="18"/>
      <x:c r="B41" s="18"/>
      <x:c r="C41" s="22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</x:row>
    <x:row r="42" ht="30" customHeight="1">
      <x:c r="A42" s="18"/>
      <x:c r="B42" s="18"/>
      <x:c r="C42" s="22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</x:row>
    <x:row r="43" ht="30" customHeight="1">
      <x:c r="A43" s="18"/>
      <x:c r="B43" s="18"/>
      <x:c r="C43" s="22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</x:row>
    <x:row r="44" ht="30" customHeight="1">
      <x:c r="A44" s="18"/>
      <x:c r="B44" s="18"/>
      <x:c r="C44" s="22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</x:row>
    <x:row r="45" ht="30" customHeight="1">
      <x:c r="A45" s="18"/>
      <x:c r="B45" s="18"/>
      <x:c r="C45" s="22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</x:row>
    <x:row r="46" ht="30" customHeight="1">
      <x:c r="A46" s="18"/>
      <x:c r="B46" s="18"/>
      <x:c r="C46" s="22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</x:row>
    <x:row r="47" ht="30" customHeight="1">
      <x:c r="A47" s="18"/>
      <x:c r="B47" s="18"/>
      <x:c r="C47" s="22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</x:row>
    <x:row r="48" ht="30" customHeight="1">
      <x:c r="A48" s="18"/>
      <x:c r="B48" s="18"/>
      <x:c r="C48" s="22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</x:row>
    <x:row r="49" ht="30" customHeight="1">
      <x:c r="A49" s="18"/>
      <x:c r="B49" s="18"/>
      <x:c r="C49" s="22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</x:row>
    <x:row r="50" ht="30" customHeight="1">
      <x:c r="A50" s="18"/>
      <x:c r="B50" s="18"/>
      <x:c r="C50" s="22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</x:row>
    <x:row r="51" ht="30" customHeight="1">
      <x:c r="A51" s="18"/>
      <x:c r="B51" s="18"/>
      <x:c r="C51" s="22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</x:row>
    <x:row r="52" ht="30" customHeight="1">
      <x:c r="A52" s="18"/>
      <x:c r="B52" s="18"/>
      <x:c r="C52" s="22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</x:row>
    <x:row r="53" ht="30" customHeight="1">
      <x:c r="A53" s="18"/>
      <x:c r="B53" s="18"/>
      <x:c r="C53" s="22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</x:row>
    <x:row r="54" ht="30" customHeight="1">
      <x:c r="A54" s="18"/>
      <x:c r="B54" s="18"/>
      <x:c r="C54" s="22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</x:row>
    <x:row r="55" ht="30" customHeight="1">
      <x:c r="A55" s="18"/>
      <x:c r="B55" s="18"/>
      <x:c r="C55" s="22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</x:row>
    <x:row r="56" ht="30" customHeight="1">
      <x:c r="A56" s="18"/>
      <x:c r="B56" s="18"/>
      <x:c r="C56" s="22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</x:row>
    <x:row r="57" ht="30" customHeight="1">
      <x:c r="A57" s="18"/>
      <x:c r="B57" s="18"/>
      <x:c r="C57" s="22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</x:row>
    <x:row r="58" ht="30" customHeight="1">
      <x:c r="A58" s="18"/>
      <x:c r="B58" s="18"/>
      <x:c r="C58" s="22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</x:row>
    <x:row r="59" ht="30" customHeight="1">
      <x:c r="A59" s="18"/>
      <x:c r="B59" s="18"/>
      <x:c r="C59" s="22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</x:row>
    <x:row r="60" ht="30" customHeight="1">
      <x:c r="A60" s="18"/>
      <x:c r="B60" s="18"/>
      <x:c r="C60" s="22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</x:row>
    <x:row r="61" ht="30" customHeight="1">
      <x:c r="A61" s="18"/>
      <x:c r="B61" s="18"/>
      <x:c r="C61" s="22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</x:row>
    <x:row r="62" ht="30" customHeight="1">
      <x:c r="A62" s="18"/>
      <x:c r="B62" s="18"/>
      <x:c r="C62" s="22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</x:row>
    <x:row r="63" ht="30" customHeight="1">
      <x:c r="A63" s="18"/>
      <x:c r="B63" s="18"/>
      <x:c r="C63" s="22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</x:row>
    <x:row r="64" ht="30" customHeight="1">
      <x:c r="A64" s="18"/>
      <x:c r="B64" s="18"/>
      <x:c r="C64" s="22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</x:row>
    <x:row r="65" ht="30" customHeight="1">
      <x:c r="A65" s="18"/>
      <x:c r="B65" s="18"/>
      <x:c r="C65" s="22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</x:row>
    <x:row r="66" ht="30" customHeight="1">
      <x:c r="A66" s="18"/>
      <x:c r="B66" s="18"/>
      <x:c r="C66" s="22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</x:row>
    <x:row r="67" ht="30" customHeight="1">
      <x:c r="A67" s="18"/>
      <x:c r="B67" s="18"/>
      <x:c r="C67" s="22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</x:row>
    <x:row r="68" ht="30" customHeight="1">
      <x:c r="A68" s="18"/>
      <x:c r="B68" s="18"/>
      <x:c r="C68" s="22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</x:row>
    <x:row r="69" ht="30" customHeight="1">
      <x:c r="A69" s="18"/>
      <x:c r="B69" s="18"/>
      <x:c r="C69" s="22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</x:row>
    <x:row r="70" ht="30" customHeight="1">
      <x:c r="A70" s="18"/>
      <x:c r="B70" s="18"/>
      <x:c r="C70" s="22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</x:row>
    <x:row r="71" ht="30" customHeight="1">
      <x:c r="A71" s="18"/>
      <x:c r="B71" s="18"/>
      <x:c r="C71" s="22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</x:row>
    <x:row r="72" ht="30" customHeight="1">
      <x:c r="A72" s="18"/>
      <x:c r="B72" s="18"/>
      <x:c r="C72" s="22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</x:row>
    <x:row r="73" ht="30" customHeight="1">
      <x:c r="A73" s="18"/>
      <x:c r="B73" s="18"/>
      <x:c r="C73" s="22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</x:row>
    <x:row r="74" ht="30" customHeight="1">
      <x:c r="A74" s="18"/>
      <x:c r="B74" s="18"/>
      <x:c r="C74" s="22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</x:row>
    <x:row r="75" ht="30" customHeight="1">
      <x:c r="A75" s="18"/>
      <x:c r="B75" s="18"/>
      <x:c r="C75" s="22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</x:row>
    <x:row r="76" ht="30" customHeight="1">
      <x:c r="A76" s="18"/>
      <x:c r="B76" s="18"/>
      <x:c r="C76" s="22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</x:row>
    <x:row r="77" ht="30" customHeight="1">
      <x:c r="A77" s="18"/>
      <x:c r="B77" s="18"/>
      <x:c r="C77" s="22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</x:row>
    <x:row r="78" ht="30" customHeight="1">
      <x:c r="A78" s="18"/>
      <x:c r="B78" s="18"/>
      <x:c r="C78" s="22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</x:row>
    <x:row r="79" ht="30" customHeight="1">
      <x:c r="A79" s="18"/>
      <x:c r="B79" s="18"/>
      <x:c r="C79" s="22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</x:row>
    <x:row r="80" ht="30" customHeight="1">
      <x:c r="A80" s="18"/>
      <x:c r="B80" s="18"/>
      <x:c r="C80" s="22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</x:row>
    <x:row r="81" ht="30" customHeight="1">
      <x:c r="A81" s="18"/>
      <x:c r="B81" s="18"/>
      <x:c r="C81" s="22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</x:row>
    <x:row r="82" ht="30" customHeight="1">
      <x:c r="A82" s="18"/>
      <x:c r="B82" s="18"/>
      <x:c r="C82" s="22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</x:row>
    <x:row r="83" ht="30" customHeight="1">
      <x:c r="A83" s="18"/>
      <x:c r="B83" s="18"/>
      <x:c r="C83" s="22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</x:row>
    <x:row r="84" ht="30" customHeight="1">
      <x:c r="A84" s="18"/>
      <x:c r="B84" s="18"/>
      <x:c r="C84" s="22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</x:row>
    <x:row r="85" ht="30" customHeight="1">
      <x:c r="A85" s="18"/>
      <x:c r="B85" s="18"/>
      <x:c r="C85" s="22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</x:row>
    <x:row r="86" ht="30" customHeight="1">
      <x:c r="A86" s="18"/>
      <x:c r="B86" s="18"/>
      <x:c r="C86" s="22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</x:row>
    <x:row r="87" ht="30" customHeight="1">
      <x:c r="A87" s="18"/>
      <x:c r="B87" s="18"/>
      <x:c r="C87" s="22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</x:row>
    <x:row r="88" ht="30" customHeight="1">
      <x:c r="A88" s="18"/>
      <x:c r="B88" s="18"/>
      <x:c r="C88" s="22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</x:row>
    <x:row r="89" ht="30" customHeight="1">
      <x:c r="A89" s="18"/>
      <x:c r="B89" s="18"/>
      <x:c r="C89" s="22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</x:row>
    <x:row r="90" ht="30" customHeight="1">
      <x:c r="A90" s="18"/>
      <x:c r="B90" s="18"/>
      <x:c r="C90" s="22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</x:row>
    <x:row r="91" ht="30" customHeight="1">
      <x:c r="A91" s="18"/>
      <x:c r="B91" s="18"/>
      <x:c r="C91" s="22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</x:row>
    <x:row r="92" ht="30" customHeight="1">
      <x:c r="A92" s="18"/>
      <x:c r="B92" s="18"/>
      <x:c r="C92" s="22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</x:row>
    <x:row r="93" ht="30" customHeight="1">
      <x:c r="A93" s="18"/>
      <x:c r="B93" s="18"/>
      <x:c r="C93" s="22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</x:row>
    <x:row r="94" ht="30" customHeight="1">
      <x:c r="A94" s="18"/>
      <x:c r="B94" s="18"/>
      <x:c r="C94" s="22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</x:row>
    <x:row r="95" ht="30" customHeight="1">
      <x:c r="A95" s="18"/>
      <x:c r="B95" s="18"/>
      <x:c r="C95" s="22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</x:row>
    <x:row r="96" ht="30" customHeight="1">
      <x:c r="A96" s="18"/>
      <x:c r="B96" s="18"/>
      <x:c r="C96" s="22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</x:row>
    <x:row r="97" ht="30" customHeight="1">
      <x:c r="A97" s="18"/>
      <x:c r="B97" s="18"/>
      <x:c r="C97" s="22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</x:row>
    <x:row r="98" ht="30" customHeight="1">
      <x:c r="A98" s="18"/>
      <x:c r="B98" s="18"/>
      <x:c r="C98" s="22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</x:row>
    <x:row r="99" ht="30" customHeight="1">
      <x:c r="A99" s="18"/>
      <x:c r="B99" s="18"/>
      <x:c r="C99" s="22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</x:row>
    <x:row r="100" ht="30" customHeight="1">
      <x:c r="A100" s="18"/>
      <x:c r="B100" s="18"/>
      <x:c r="C100" s="22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</x:row>
    <x:row r="101" ht="30" customHeight="1">
      <x:c r="A101" s="18"/>
      <x:c r="B101" s="18"/>
      <x:c r="C101" s="22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</x:row>
    <x:row r="102" ht="30" customHeight="1">
      <x:c r="A102" s="18"/>
      <x:c r="B102" s="18"/>
      <x:c r="C102" s="22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</x:row>
    <x:row r="103" ht="30" customHeight="1">
      <x:c r="A103" s="18"/>
      <x:c r="B103" s="18"/>
      <x:c r="C103" s="22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</x:row>
    <x:row r="104" ht="30" customHeight="1">
      <x:c r="A104" s="18"/>
      <x:c r="B104" s="18"/>
      <x:c r="C104" s="22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</x:row>
    <x:row r="105" ht="30" customHeight="1">
      <x:c r="A105" s="18"/>
      <x:c r="B105" s="18"/>
      <x:c r="C105" s="22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986c23f555be4ec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8" hidden="0" customWidth="1"/>
    <x:col min="12" max="12" width="38" hidden="0" customWidth="1"/>
  </x:cols>
  <x:sheetData>
    <x:row r="1" ht="34" customHeight="1">
      <x:c r="A1" s="3" t="str">
        <x:v>HISTORICAL BASELINES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Preserved evidence, not fresh analytics. Rounded aggregates are kept out of raw daily tables.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snapshot_id</x:v>
      </x:c>
      <x:c r="B5" s="12" t="str">
        <x:v>observed_at</x:v>
      </x:c>
      <x:c r="C5" s="12" t="str">
        <x:v>source</x:v>
      </x:c>
      <x:c r="D5" s="12" t="str">
        <x:v>window_start</x:v>
      </x:c>
      <x:c r="E5" s="12" t="str">
        <x:v>window_end</x:v>
      </x:c>
      <x:c r="F5" s="12" t="str">
        <x:v>scope</x:v>
      </x:c>
      <x:c r="G5" s="12" t="str">
        <x:v>metric</x:v>
      </x:c>
      <x:c r="H5" s="12" t="str">
        <x:v>value</x:v>
      </x:c>
      <x:c r="I5" s="12" t="str">
        <x:v>unit</x:v>
      </x:c>
      <x:c r="J5" s="12" t="str">
        <x:v>precision</x:v>
      </x:c>
      <x:c r="K5" s="12" t="str">
        <x:v>comparison_warning</x:v>
      </x:c>
      <x:c r="L5" s="12" t="str">
        <x:v>evidence_url</x:v>
      </x:c>
    </x:row>
    <x:row r="6" ht="68" customHeight="1">
      <x:c r="A6" s="18" t="str">
        <x:v>GSC28-CLICKS</x:v>
      </x:c>
      <x:c r="B6" s="22" t="n">
        <x:v>46274</x:v>
      </x:c>
      <x:c r="C6" s="18" t="str">
        <x:v>GSC browser review</x:v>
      </x:c>
      <x:c r="D6" s="22" t="n">
        <x:v>46244</x:v>
      </x:c>
      <x:c r="E6" s="22" t="n">
        <x:v>46271</x:v>
      </x:c>
      <x:c r="F6" s="18" t="str">
        <x:v>Property / Web</x:v>
      </x:c>
      <x:c r="G6" s="18" t="str">
        <x:v>Clicks</x:v>
      </x:c>
      <x:c r="H6" s="30" t="n">
        <x:v>918</x:v>
      </x:c>
      <x:c r="I6" s="18" t="str">
        <x:v>clicks</x:v>
      </x:c>
      <x:c r="J6" s="18" t="str">
        <x:v>Exact as documented</x:v>
      </x:c>
      <x:c r="K6" s="18" t="str">
        <x:v>Historical; overlapping 3-month snapshot; not current daily data</x:v>
      </x:c>
      <x:c r="L6" s="18" t="str">
        <x:v>https://github.com/myglobalhealthonline/global-health-website/blob/main/docs/audits/seo/google-access-review-2026-09-09.md</x:v>
      </x:c>
    </x:row>
    <x:row r="7" ht="68" customHeight="1">
      <x:c r="A7" s="18" t="str">
        <x:v>GSC28-IMP</x:v>
      </x:c>
      <x:c r="B7" s="22" t="n">
        <x:v>46274</x:v>
      </x:c>
      <x:c r="C7" s="18" t="str">
        <x:v>GSC browser review</x:v>
      </x:c>
      <x:c r="D7" s="22" t="n">
        <x:v>46244</x:v>
      </x:c>
      <x:c r="E7" s="22" t="n">
        <x:v>46271</x:v>
      </x:c>
      <x:c r="F7" s="18" t="str">
        <x:v>Property / Web</x:v>
      </x:c>
      <x:c r="G7" s="18" t="str">
        <x:v>Impressions</x:v>
      </x:c>
      <x:c r="H7" s="30" t="n">
        <x:v>61300</x:v>
      </x:c>
      <x:c r="I7" s="18" t="str">
        <x:v>impressions</x:v>
      </x:c>
      <x:c r="J7" s="18" t="str">
        <x:v>Rounded from 61.3K</x:v>
      </x:c>
      <x:c r="K7" s="18" t="str">
        <x:v>Do not use rounded impressions as an exact reconciliation total</x:v>
      </x:c>
      <x:c r="L7" s="18" t="str">
        <x:v>https://github.com/myglobalhealthonline/global-health-website/blob/main/docs/audits/seo/google-access-review-2026-09-09.md</x:v>
      </x:c>
    </x:row>
    <x:row r="8" ht="68" customHeight="1">
      <x:c r="A8" s="18" t="str">
        <x:v>GSC28-CTR</x:v>
      </x:c>
      <x:c r="B8" s="22" t="n">
        <x:v>46274</x:v>
      </x:c>
      <x:c r="C8" s="18" t="str">
        <x:v>GSC browser review</x:v>
      </x:c>
      <x:c r="D8" s="22" t="n">
        <x:v>46244</x:v>
      </x:c>
      <x:c r="E8" s="22" t="n">
        <x:v>46271</x:v>
      </x:c>
      <x:c r="F8" s="18" t="str">
        <x:v>Property / Web</x:v>
      </x:c>
      <x:c r="G8" s="18" t="str">
        <x:v>Reported CTR</x:v>
      </x:c>
      <x:c r="H8" s="28" t="n">
        <x:v>0.015</x:v>
      </x:c>
      <x:c r="I8" s="18" t="str">
        <x:v>ratio</x:v>
      </x:c>
      <x:c r="J8" s="18" t="str">
        <x:v>Rounded from 1.5%</x:v>
      </x:c>
      <x:c r="K8" s="18" t="str">
        <x:v>Do not average CTR across snapshots</x:v>
      </x:c>
      <x:c r="L8" s="18" t="str">
        <x:v>https://github.com/myglobalhealthonline/global-health-website/blob/main/docs/audits/seo/google-access-review-2026-09-09.md</x:v>
      </x:c>
    </x:row>
    <x:row r="9" ht="68" customHeight="1">
      <x:c r="A9" s="18" t="str">
        <x:v>GSC3M-CLICKS</x:v>
      </x:c>
      <x:c r="B9" s="22" t="n">
        <x:v>46274</x:v>
      </x:c>
      <x:c r="C9" s="18" t="str">
        <x:v>GSC browser review</x:v>
      </x:c>
      <x:c r="D9" s="22" t="n">
        <x:v>46180</x:v>
      </x:c>
      <x:c r="E9" s="22" t="n">
        <x:v>46271</x:v>
      </x:c>
      <x:c r="F9" s="18" t="str">
        <x:v>Property / Web</x:v>
      </x:c>
      <x:c r="G9" s="18" t="str">
        <x:v>Clicks</x:v>
      </x:c>
      <x:c r="H9" s="30" t="n">
        <x:v>2120</x:v>
      </x:c>
      <x:c r="I9" s="18" t="str">
        <x:v>clicks</x:v>
      </x:c>
      <x:c r="J9" s="18" t="str">
        <x:v>Rounded from 2.12K</x:v>
      </x:c>
      <x:c r="K9" s="18" t="str">
        <x:v>Overlaps 28-day snapshot; do not sum or call a previous period</x:v>
      </x:c>
      <x:c r="L9" s="18" t="str">
        <x:v>https://github.com/myglobalhealthonline/global-health-website/blob/main/docs/audits/seo/google-access-review-2026-09-09.md</x:v>
      </x:c>
    </x:row>
    <x:row r="10" ht="68" customHeight="1">
      <x:c r="A10" s="18" t="str">
        <x:v>GSC3M-IMP</x:v>
      </x:c>
      <x:c r="B10" s="22" t="n">
        <x:v>46274</x:v>
      </x:c>
      <x:c r="C10" s="18" t="str">
        <x:v>GSC browser review</x:v>
      </x:c>
      <x:c r="D10" s="22" t="n">
        <x:v>46180</x:v>
      </x:c>
      <x:c r="E10" s="22" t="n">
        <x:v>46271</x:v>
      </x:c>
      <x:c r="F10" s="18" t="str">
        <x:v>Property / Web</x:v>
      </x:c>
      <x:c r="G10" s="18" t="str">
        <x:v>Impressions</x:v>
      </x:c>
      <x:c r="H10" s="30" t="n">
        <x:v>105000</x:v>
      </x:c>
      <x:c r="I10" s="18" t="str">
        <x:v>impressions</x:v>
      </x:c>
      <x:c r="J10" s="18" t="str">
        <x:v>Rounded from 105K</x:v>
      </x:c>
      <x:c r="K10" s="18" t="str">
        <x:v>Overlaps 28-day snapshot</x:v>
      </x:c>
      <x:c r="L10" s="18" t="str">
        <x:v>https://github.com/myglobalhealthonline/global-health-website/blob/main/docs/audits/seo/google-access-review-2026-09-09.md</x:v>
      </x:c>
    </x:row>
    <x:row r="11" ht="68" customHeight="1">
      <x:c r="A11" s="18" t="str">
        <x:v>GSC3M-CTR</x:v>
      </x:c>
      <x:c r="B11" s="22" t="n">
        <x:v>46274</x:v>
      </x:c>
      <x:c r="C11" s="18" t="str">
        <x:v>GSC browser review</x:v>
      </x:c>
      <x:c r="D11" s="22" t="n">
        <x:v>46180</x:v>
      </x:c>
      <x:c r="E11" s="22" t="n">
        <x:v>46271</x:v>
      </x:c>
      <x:c r="F11" s="18" t="str">
        <x:v>Property / Web</x:v>
      </x:c>
      <x:c r="G11" s="18" t="str">
        <x:v>Reported CTR</x:v>
      </x:c>
      <x:c r="H11" s="28" t="n">
        <x:v>0.02</x:v>
      </x:c>
      <x:c r="I11" s="18" t="str">
        <x:v>ratio</x:v>
      </x:c>
      <x:c r="J11" s="18" t="str">
        <x:v>Rounded from 2%</x:v>
      </x:c>
      <x:c r="K11" s="18" t="str">
        <x:v>Not a weighted mean of row-level CTRs</x:v>
      </x:c>
      <x:c r="L11" s="18" t="str">
        <x:v>https://github.com/myglobalhealthonline/global-health-website/blob/main/docs/audits/seo/google-access-review-2026-09-09.md</x:v>
      </x:c>
    </x:row>
    <x:row r="12" ht="68" customHeight="1">
      <x:c r="A12" s="18" t="str">
        <x:v>INDEXED</x:v>
      </x:c>
      <x:c r="B12" s="22" t="n">
        <x:v>46274</x:v>
      </x:c>
      <x:c r="C12" s="18" t="str">
        <x:v>GSC browser review</x:v>
      </x:c>
      <x:c r="D12" s="22"/>
      <x:c r="E12" s="22" t="n">
        <x:v>46269</x:v>
      </x:c>
      <x:c r="F12" s="18" t="str">
        <x:v>All known URLs</x:v>
      </x:c>
      <x:c r="G12" s="18" t="str">
        <x:v>Indexed</x:v>
      </x:c>
      <x:c r="H12" s="30" t="n">
        <x:v>2098</x:v>
      </x:c>
      <x:c r="I12" s="18" t="str">
        <x:v>URLs</x:v>
      </x:c>
      <x:c r="J12" s="18" t="str">
        <x:v>Exact as documented</x:v>
      </x:c>
      <x:c r="K12" s="18" t="str">
        <x:v>Not the current canonical-page denominator</x:v>
      </x:c>
      <x:c r="L12" s="18" t="str">
        <x:v>https://github.com/myglobalhealthonline/global-health-website/blob/main/docs/audits/seo/google-access-review-2026-09-09.md</x:v>
      </x:c>
    </x:row>
    <x:row r="13" ht="68" customHeight="1">
      <x:c r="A13" s="18" t="str">
        <x:v>NOT-INDEXED</x:v>
      </x:c>
      <x:c r="B13" s="22" t="n">
        <x:v>46274</x:v>
      </x:c>
      <x:c r="C13" s="18" t="str">
        <x:v>GSC browser review</x:v>
      </x:c>
      <x:c r="D13" s="22"/>
      <x:c r="E13" s="22" t="n">
        <x:v>46269</x:v>
      </x:c>
      <x:c r="F13" s="18" t="str">
        <x:v>All known URLs</x:v>
      </x:c>
      <x:c r="G13" s="18" t="str">
        <x:v>Not indexed</x:v>
      </x:c>
      <x:c r="H13" s="30" t="n">
        <x:v>1744</x:v>
      </x:c>
      <x:c r="I13" s="18" t="str">
        <x:v>URLs</x:v>
      </x:c>
      <x:c r="J13" s="18" t="str">
        <x:v>Exact as documented</x:v>
      </x:c>
      <x:c r="K13" s="18" t="str">
        <x:v>Includes intentional redirects/noindex/alternates; not all defects</x:v>
      </x:c>
      <x:c r="L13" s="18" t="str">
        <x:v>https://github.com/myglobalhealthonline/global-health-website/blob/main/docs/audits/seo/google-access-review-2026-09-09.md</x:v>
      </x:c>
    </x:row>
    <x:row r="14" ht="68" customHeight="1">
      <x:c r="A14" s="18" t="str">
        <x:v>GA4-GAP</x:v>
      </x:c>
      <x:c r="B14" s="22" t="n">
        <x:v>46274</x:v>
      </x:c>
      <x:c r="C14" s="18" t="str">
        <x:v>Repo handover</x:v>
      </x:c>
      <x:c r="D14" s="22" t="n">
        <x:v>46236</x:v>
      </x:c>
      <x:c r="E14" s="22" t="n">
        <x:v>46273</x:v>
      </x:c>
      <x:c r="F14" s="18" t="str">
        <x:v>GA4 property 547083375</x:v>
      </x:c>
      <x:c r="G14" s="18" t="str">
        <x:v>Documented collection gap</x:v>
      </x:c>
      <x:c r="H14" s="30"/>
      <x:c r="I14" s="18" t="str">
        <x:v>not measured</x:v>
      </x:c>
      <x:c r="J14" s="18" t="str">
        <x:v>Historical documented</x:v>
      </x:c>
      <x:c r="K14" s="18" t="str">
        <x:v>Do not backfill missing sessions/events with zero or estimates</x:v>
      </x:c>
      <x:c r="L14" s="18" t="str">
        <x:v>https://github.com/myglobalhealthonline/global-health-website/blob/main/docs/plans/seo-handover-codex.md</x:v>
      </x:c>
    </x:row>
    <x:row r="15" ht="68" customHeight="1">
      <x:c r="A15" s="18" t="str">
        <x:v>LAUNCH</x:v>
      </x:c>
      <x:c r="B15" s="22" t="n">
        <x:v>46280</x:v>
      </x:c>
      <x:c r="C15" s="18" t="str">
        <x:v>User brief</x:v>
      </x:c>
      <x:c r="D15" s="22" t="n">
        <x:v>46224</x:v>
      </x:c>
      <x:c r="E15" s="22" t="n">
        <x:v>46224</x:v>
      </x:c>
      <x:c r="F15" s="18" t="str">
        <x:v>Wix to current website</x:v>
      </x:c>
      <x:c r="G15" s="18" t="str">
        <x:v>Reported launch date</x:v>
      </x:c>
      <x:c r="H15" s="30"/>
      <x:c r="I15" s="18" t="str">
        <x:v>milestone</x:v>
      </x:c>
      <x:c r="J15" s="18" t="str">
        <x:v>User-reported; year assumed 2026</x:v>
      </x:c>
      <x:c r="K15" s="18" t="str">
        <x:v>Verify exact deployment and any separate URL migration dates</x:v>
      </x:c>
      <x:c r="L15" s="18" t="str">
        <x:v>User brief, 2026-09-15</x:v>
      </x:c>
    </x:row>
    <x:row r="16" ht="68" customHeight="1">
      <x:c r="A16" s="18" t="str">
        <x:v>SEO-START</x:v>
      </x:c>
      <x:c r="B16" s="22" t="n">
        <x:v>46280</x:v>
      </x:c>
      <x:c r="C16" s="18" t="str">
        <x:v>User brief</x:v>
      </x:c>
      <x:c r="D16" s="22"/>
      <x:c r="E16" s="22"/>
      <x:c r="F16" s="18" t="str">
        <x:v>SEO implementation</x:v>
      </x:c>
      <x:c r="G16" s="18" t="str">
        <x:v>Early August 2026</x:v>
      </x:c>
      <x:c r="H16" s="30"/>
      <x:c r="I16" s="18" t="str">
        <x:v>milestone</x:v>
      </x:c>
      <x:c r="J16" s="18" t="str">
        <x:v>Approximate; no exact day assigned</x:v>
      </x:c>
      <x:c r="K16" s="18" t="str">
        <x:v>Use actual commit/deployment evidence before causal comparisons</x:v>
      </x:c>
      <x:c r="L16" s="18" t="str">
        <x:v>User brief, 2026-09-15</x:v>
      </x:c>
    </x:row>
    <x:row r="17" ht="30" customHeight="1">
      <x:c r="A17" s="18"/>
      <x:c r="B17" s="22"/>
      <x:c r="C17" s="18"/>
      <x:c r="D17" s="22"/>
      <x:c r="E17" s="22"/>
      <x:c r="F17" s="18"/>
      <x:c r="G17" s="18"/>
      <x:c r="H17" s="18"/>
      <x:c r="I17" s="18"/>
      <x:c r="J17" s="18"/>
      <x:c r="K17" s="18"/>
      <x:c r="L17" s="18"/>
    </x:row>
    <x:row r="18" ht="30" customHeight="1">
      <x:c r="A18" s="18"/>
      <x:c r="B18" s="22"/>
      <x:c r="C18" s="18"/>
      <x:c r="D18" s="22"/>
      <x:c r="E18" s="22"/>
      <x:c r="F18" s="18"/>
      <x:c r="G18" s="18"/>
      <x:c r="H18" s="18"/>
      <x:c r="I18" s="18"/>
      <x:c r="J18" s="18"/>
      <x:c r="K18" s="18"/>
      <x:c r="L18" s="18"/>
    </x:row>
    <x:row r="19" ht="30" customHeight="1">
      <x:c r="A19" s="18"/>
      <x:c r="B19" s="22"/>
      <x:c r="C19" s="18"/>
      <x:c r="D19" s="22"/>
      <x:c r="E19" s="22"/>
      <x:c r="F19" s="18"/>
      <x:c r="G19" s="18"/>
      <x:c r="H19" s="18"/>
      <x:c r="I19" s="18"/>
      <x:c r="J19" s="18"/>
      <x:c r="K19" s="18"/>
      <x:c r="L19" s="18"/>
    </x:row>
    <x:row r="20" ht="30" customHeight="1">
      <x:c r="A20" s="18"/>
      <x:c r="B20" s="22"/>
      <x:c r="C20" s="18"/>
      <x:c r="D20" s="22"/>
      <x:c r="E20" s="22"/>
      <x:c r="F20" s="18"/>
      <x:c r="G20" s="18"/>
      <x:c r="H20" s="18"/>
      <x:c r="I20" s="18"/>
      <x:c r="J20" s="18"/>
      <x:c r="K20" s="18"/>
      <x:c r="L20" s="18"/>
    </x:row>
    <x:row r="21" ht="30" customHeight="1">
      <x:c r="A21" s="18"/>
      <x:c r="B21" s="22"/>
      <x:c r="C21" s="18"/>
      <x:c r="D21" s="22"/>
      <x:c r="E21" s="22"/>
      <x:c r="F21" s="18"/>
      <x:c r="G21" s="18"/>
      <x:c r="H21" s="18"/>
      <x:c r="I21" s="18"/>
      <x:c r="J21" s="18"/>
      <x:c r="K21" s="18"/>
      <x:c r="L21" s="18"/>
    </x:row>
    <x:row r="22" ht="30" customHeight="1">
      <x:c r="A22" s="18"/>
      <x:c r="B22" s="22"/>
      <x:c r="C22" s="18"/>
      <x:c r="D22" s="22"/>
      <x:c r="E22" s="22"/>
      <x:c r="F22" s="18"/>
      <x:c r="G22" s="18"/>
      <x:c r="H22" s="18"/>
      <x:c r="I22" s="18"/>
      <x:c r="J22" s="18"/>
      <x:c r="K22" s="18"/>
      <x:c r="L22" s="18"/>
    </x:row>
    <x:row r="23" ht="30" customHeight="1">
      <x:c r="A23" s="18"/>
      <x:c r="B23" s="22"/>
      <x:c r="C23" s="18"/>
      <x:c r="D23" s="22"/>
      <x:c r="E23" s="22"/>
      <x:c r="F23" s="18"/>
      <x:c r="G23" s="18"/>
      <x:c r="H23" s="18"/>
      <x:c r="I23" s="18"/>
      <x:c r="J23" s="18"/>
      <x:c r="K23" s="18"/>
      <x:c r="L23" s="18"/>
    </x:row>
    <x:row r="24" ht="30" customHeight="1">
      <x:c r="A24" s="18"/>
      <x:c r="B24" s="22"/>
      <x:c r="C24" s="18"/>
      <x:c r="D24" s="22"/>
      <x:c r="E24" s="22"/>
      <x:c r="F24" s="18"/>
      <x:c r="G24" s="18"/>
      <x:c r="H24" s="18"/>
      <x:c r="I24" s="18"/>
      <x:c r="J24" s="18"/>
      <x:c r="K24" s="18"/>
      <x:c r="L24" s="18"/>
    </x:row>
    <x:row r="25" ht="30" customHeight="1">
      <x:c r="A25" s="18"/>
      <x:c r="B25" s="22"/>
      <x:c r="C25" s="18"/>
      <x:c r="D25" s="22"/>
      <x:c r="E25" s="22"/>
      <x:c r="F25" s="18"/>
      <x:c r="G25" s="18"/>
      <x:c r="H25" s="18"/>
      <x:c r="I25" s="18"/>
      <x:c r="J25" s="18"/>
      <x:c r="K25" s="18"/>
      <x:c r="L25" s="18"/>
    </x:row>
    <x:row r="26" ht="30" customHeight="1">
      <x:c r="A26" s="18"/>
      <x:c r="B26" s="22"/>
      <x:c r="C26" s="18"/>
      <x:c r="D26" s="22"/>
      <x:c r="E26" s="22"/>
      <x:c r="F26" s="18"/>
      <x:c r="G26" s="18"/>
      <x:c r="H26" s="18"/>
      <x:c r="I26" s="18"/>
      <x:c r="J26" s="18"/>
      <x:c r="K26" s="18"/>
      <x:c r="L26" s="18"/>
    </x:row>
    <x:row r="27" ht="30" customHeight="1">
      <x:c r="A27" s="18"/>
      <x:c r="B27" s="22"/>
      <x:c r="C27" s="18"/>
      <x:c r="D27" s="22"/>
      <x:c r="E27" s="22"/>
      <x:c r="F27" s="18"/>
      <x:c r="G27" s="18"/>
      <x:c r="H27" s="18"/>
      <x:c r="I27" s="18"/>
      <x:c r="J27" s="18"/>
      <x:c r="K27" s="18"/>
      <x:c r="L27" s="18"/>
    </x:row>
    <x:row r="28" ht="30" customHeight="1">
      <x:c r="A28" s="18"/>
      <x:c r="B28" s="22"/>
      <x:c r="C28" s="18"/>
      <x:c r="D28" s="22"/>
      <x:c r="E28" s="22"/>
      <x:c r="F28" s="18"/>
      <x:c r="G28" s="18"/>
      <x:c r="H28" s="18"/>
      <x:c r="I28" s="18"/>
      <x:c r="J28" s="18"/>
      <x:c r="K28" s="18"/>
      <x:c r="L28" s="18"/>
    </x:row>
    <x:row r="29" ht="30" customHeight="1">
      <x:c r="A29" s="18"/>
      <x:c r="B29" s="22"/>
      <x:c r="C29" s="18"/>
      <x:c r="D29" s="22"/>
      <x:c r="E29" s="22"/>
      <x:c r="F29" s="18"/>
      <x:c r="G29" s="18"/>
      <x:c r="H29" s="18"/>
      <x:c r="I29" s="18"/>
      <x:c r="J29" s="18"/>
      <x:c r="K29" s="18"/>
      <x:c r="L29" s="18"/>
    </x:row>
    <x:row r="30" ht="30" customHeight="1">
      <x:c r="A30" s="18"/>
      <x:c r="B30" s="22"/>
      <x:c r="C30" s="18"/>
      <x:c r="D30" s="22"/>
      <x:c r="E30" s="22"/>
      <x:c r="F30" s="18"/>
      <x:c r="G30" s="18"/>
      <x:c r="H30" s="18"/>
      <x:c r="I30" s="18"/>
      <x:c r="J30" s="18"/>
      <x:c r="K30" s="18"/>
      <x:c r="L30" s="18"/>
    </x:row>
    <x:row r="31" ht="30" customHeight="1">
      <x:c r="A31" s="18"/>
      <x:c r="B31" s="22"/>
      <x:c r="C31" s="18"/>
      <x:c r="D31" s="22"/>
      <x:c r="E31" s="22"/>
      <x:c r="F31" s="18"/>
      <x:c r="G31" s="18"/>
      <x:c r="H31" s="18"/>
      <x:c r="I31" s="18"/>
      <x:c r="J31" s="18"/>
      <x:c r="K31" s="18"/>
      <x:c r="L31" s="18"/>
    </x:row>
    <x:row r="32" ht="30" customHeight="1">
      <x:c r="A32" s="18"/>
      <x:c r="B32" s="22"/>
      <x:c r="C32" s="18"/>
      <x:c r="D32" s="22"/>
      <x:c r="E32" s="22"/>
      <x:c r="F32" s="18"/>
      <x:c r="G32" s="18"/>
      <x:c r="H32" s="18"/>
      <x:c r="I32" s="18"/>
      <x:c r="J32" s="18"/>
      <x:c r="K32" s="18"/>
      <x:c r="L32" s="18"/>
    </x:row>
    <x:row r="33" ht="30" customHeight="1">
      <x:c r="A33" s="18"/>
      <x:c r="B33" s="22"/>
      <x:c r="C33" s="18"/>
      <x:c r="D33" s="22"/>
      <x:c r="E33" s="22"/>
      <x:c r="F33" s="18"/>
      <x:c r="G33" s="18"/>
      <x:c r="H33" s="18"/>
      <x:c r="I33" s="18"/>
      <x:c r="J33" s="18"/>
      <x:c r="K33" s="18"/>
      <x:c r="L33" s="18"/>
    </x:row>
    <x:row r="34" ht="30" customHeight="1">
      <x:c r="A34" s="18"/>
      <x:c r="B34" s="22"/>
      <x:c r="C34" s="18"/>
      <x:c r="D34" s="22"/>
      <x:c r="E34" s="22"/>
      <x:c r="F34" s="18"/>
      <x:c r="G34" s="18"/>
      <x:c r="H34" s="18"/>
      <x:c r="I34" s="18"/>
      <x:c r="J34" s="18"/>
      <x:c r="K34" s="18"/>
      <x:c r="L34" s="18"/>
    </x:row>
    <x:row r="35" ht="30" customHeight="1">
      <x:c r="A35" s="18"/>
      <x:c r="B35" s="22"/>
      <x:c r="C35" s="18"/>
      <x:c r="D35" s="22"/>
      <x:c r="E35" s="22"/>
      <x:c r="F35" s="18"/>
      <x:c r="G35" s="18"/>
      <x:c r="H35" s="18"/>
      <x:c r="I35" s="18"/>
      <x:c r="J35" s="18"/>
      <x:c r="K35" s="18"/>
      <x:c r="L35" s="18"/>
    </x:row>
    <x:row r="36" ht="30" customHeight="1">
      <x:c r="A36" s="18"/>
      <x:c r="B36" s="22"/>
      <x:c r="C36" s="18"/>
      <x:c r="D36" s="22"/>
      <x:c r="E36" s="22"/>
      <x:c r="F36" s="18"/>
      <x:c r="G36" s="18"/>
      <x:c r="H36" s="18"/>
      <x:c r="I36" s="18"/>
      <x:c r="J36" s="18"/>
      <x:c r="K36" s="18"/>
      <x:c r="L36" s="18"/>
    </x:row>
    <x:row r="37" ht="30" customHeight="1">
      <x:c r="A37" s="18"/>
      <x:c r="B37" s="22"/>
      <x:c r="C37" s="18"/>
      <x:c r="D37" s="22"/>
      <x:c r="E37" s="22"/>
      <x:c r="F37" s="18"/>
      <x:c r="G37" s="18"/>
      <x:c r="H37" s="18"/>
      <x:c r="I37" s="18"/>
      <x:c r="J37" s="18"/>
      <x:c r="K37" s="18"/>
      <x:c r="L37" s="18"/>
    </x:row>
    <x:row r="38" ht="30" customHeight="1">
      <x:c r="A38" s="18"/>
      <x:c r="B38" s="22"/>
      <x:c r="C38" s="18"/>
      <x:c r="D38" s="22"/>
      <x:c r="E38" s="22"/>
      <x:c r="F38" s="18"/>
      <x:c r="G38" s="18"/>
      <x:c r="H38" s="18"/>
      <x:c r="I38" s="18"/>
      <x:c r="J38" s="18"/>
      <x:c r="K38" s="18"/>
      <x:c r="L38" s="18"/>
    </x:row>
    <x:row r="39" ht="30" customHeight="1">
      <x:c r="A39" s="18"/>
      <x:c r="B39" s="22"/>
      <x:c r="C39" s="18"/>
      <x:c r="D39" s="22"/>
      <x:c r="E39" s="22"/>
      <x:c r="F39" s="18"/>
      <x:c r="G39" s="18"/>
      <x:c r="H39" s="18"/>
      <x:c r="I39" s="18"/>
      <x:c r="J39" s="18"/>
      <x:c r="K39" s="18"/>
      <x:c r="L39" s="18"/>
    </x:row>
    <x:row r="40" ht="30" customHeight="1">
      <x:c r="A40" s="18"/>
      <x:c r="B40" s="22"/>
      <x:c r="C40" s="18"/>
      <x:c r="D40" s="22"/>
      <x:c r="E40" s="22"/>
      <x:c r="F40" s="18"/>
      <x:c r="G40" s="18"/>
      <x:c r="H40" s="18"/>
      <x:c r="I40" s="18"/>
      <x:c r="J40" s="18"/>
      <x:c r="K40" s="18"/>
      <x:c r="L40" s="18"/>
    </x:row>
    <x:row r="41" ht="30" customHeight="1">
      <x:c r="A41" s="18"/>
      <x:c r="B41" s="22"/>
      <x:c r="C41" s="18"/>
      <x:c r="D41" s="22"/>
      <x:c r="E41" s="22"/>
      <x:c r="F41" s="18"/>
      <x:c r="G41" s="18"/>
      <x:c r="H41" s="18"/>
      <x:c r="I41" s="18"/>
      <x:c r="J41" s="18"/>
      <x:c r="K41" s="18"/>
      <x:c r="L41" s="18"/>
    </x:row>
    <x:row r="42" ht="30" customHeight="1">
      <x:c r="A42" s="18"/>
      <x:c r="B42" s="22"/>
      <x:c r="C42" s="18"/>
      <x:c r="D42" s="22"/>
      <x:c r="E42" s="22"/>
      <x:c r="F42" s="18"/>
      <x:c r="G42" s="18"/>
      <x:c r="H42" s="18"/>
      <x:c r="I42" s="18"/>
      <x:c r="J42" s="18"/>
      <x:c r="K42" s="18"/>
      <x:c r="L42" s="18"/>
    </x:row>
    <x:row r="43" ht="30" customHeight="1">
      <x:c r="A43" s="18"/>
      <x:c r="B43" s="22"/>
      <x:c r="C43" s="18"/>
      <x:c r="D43" s="22"/>
      <x:c r="E43" s="22"/>
      <x:c r="F43" s="18"/>
      <x:c r="G43" s="18"/>
      <x:c r="H43" s="18"/>
      <x:c r="I43" s="18"/>
      <x:c r="J43" s="18"/>
      <x:c r="K43" s="18"/>
      <x:c r="L43" s="18"/>
    </x:row>
    <x:row r="44" ht="30" customHeight="1">
      <x:c r="A44" s="18"/>
      <x:c r="B44" s="22"/>
      <x:c r="C44" s="18"/>
      <x:c r="D44" s="22"/>
      <x:c r="E44" s="22"/>
      <x:c r="F44" s="18"/>
      <x:c r="G44" s="18"/>
      <x:c r="H44" s="18"/>
      <x:c r="I44" s="18"/>
      <x:c r="J44" s="18"/>
      <x:c r="K44" s="18"/>
      <x:c r="L44" s="18"/>
    </x:row>
    <x:row r="45" ht="30" customHeight="1">
      <x:c r="A45" s="18"/>
      <x:c r="B45" s="22"/>
      <x:c r="C45" s="18"/>
      <x:c r="D45" s="22"/>
      <x:c r="E45" s="22"/>
      <x:c r="F45" s="18"/>
      <x:c r="G45" s="18"/>
      <x:c r="H45" s="18"/>
      <x:c r="I45" s="18"/>
      <x:c r="J45" s="18"/>
      <x:c r="K45" s="18"/>
      <x:c r="L45" s="18"/>
    </x:row>
    <x:row r="46" ht="30" customHeight="1">
      <x:c r="A46" s="18"/>
      <x:c r="B46" s="22"/>
      <x:c r="C46" s="18"/>
      <x:c r="D46" s="22"/>
      <x:c r="E46" s="22"/>
      <x:c r="F46" s="18"/>
      <x:c r="G46" s="18"/>
      <x:c r="H46" s="18"/>
      <x:c r="I46" s="18"/>
      <x:c r="J46" s="18"/>
      <x:c r="K46" s="18"/>
      <x:c r="L46" s="18"/>
    </x:row>
    <x:row r="47" ht="30" customHeight="1">
      <x:c r="A47" s="18"/>
      <x:c r="B47" s="22"/>
      <x:c r="C47" s="18"/>
      <x:c r="D47" s="22"/>
      <x:c r="E47" s="22"/>
      <x:c r="F47" s="18"/>
      <x:c r="G47" s="18"/>
      <x:c r="H47" s="18"/>
      <x:c r="I47" s="18"/>
      <x:c r="J47" s="18"/>
      <x:c r="K47" s="18"/>
      <x:c r="L47" s="18"/>
    </x:row>
    <x:row r="48" ht="30" customHeight="1">
      <x:c r="A48" s="18"/>
      <x:c r="B48" s="22"/>
      <x:c r="C48" s="18"/>
      <x:c r="D48" s="22"/>
      <x:c r="E48" s="22"/>
      <x:c r="F48" s="18"/>
      <x:c r="G48" s="18"/>
      <x:c r="H48" s="18"/>
      <x:c r="I48" s="18"/>
      <x:c r="J48" s="18"/>
      <x:c r="K48" s="18"/>
      <x:c r="L48" s="18"/>
    </x:row>
    <x:row r="49" ht="30" customHeight="1">
      <x:c r="A49" s="18"/>
      <x:c r="B49" s="22"/>
      <x:c r="C49" s="18"/>
      <x:c r="D49" s="22"/>
      <x:c r="E49" s="22"/>
      <x:c r="F49" s="18"/>
      <x:c r="G49" s="18"/>
      <x:c r="H49" s="18"/>
      <x:c r="I49" s="18"/>
      <x:c r="J49" s="18"/>
      <x:c r="K49" s="18"/>
      <x:c r="L49" s="18"/>
    </x:row>
    <x:row r="50" ht="30" customHeight="1">
      <x:c r="A50" s="18"/>
      <x:c r="B50" s="22"/>
      <x:c r="C50" s="18"/>
      <x:c r="D50" s="22"/>
      <x:c r="E50" s="22"/>
      <x:c r="F50" s="18"/>
      <x:c r="G50" s="18"/>
      <x:c r="H50" s="18"/>
      <x:c r="I50" s="18"/>
      <x:c r="J50" s="18"/>
      <x:c r="K50" s="18"/>
      <x:c r="L50" s="18"/>
    </x:row>
    <x:row r="51" ht="30" customHeight="1">
      <x:c r="A51" s="18"/>
      <x:c r="B51" s="22"/>
      <x:c r="C51" s="18"/>
      <x:c r="D51" s="22"/>
      <x:c r="E51" s="22"/>
      <x:c r="F51" s="18"/>
      <x:c r="G51" s="18"/>
      <x:c r="H51" s="18"/>
      <x:c r="I51" s="18"/>
      <x:c r="J51" s="18"/>
      <x:c r="K51" s="18"/>
      <x:c r="L51" s="18"/>
    </x:row>
    <x:row r="52" ht="30" customHeight="1">
      <x:c r="A52" s="18"/>
      <x:c r="B52" s="22"/>
      <x:c r="C52" s="18"/>
      <x:c r="D52" s="22"/>
      <x:c r="E52" s="22"/>
      <x:c r="F52" s="18"/>
      <x:c r="G52" s="18"/>
      <x:c r="H52" s="18"/>
      <x:c r="I52" s="18"/>
      <x:c r="J52" s="18"/>
      <x:c r="K52" s="18"/>
      <x:c r="L52" s="18"/>
    </x:row>
    <x:row r="53" ht="30" customHeight="1">
      <x:c r="A53" s="18"/>
      <x:c r="B53" s="22"/>
      <x:c r="C53" s="18"/>
      <x:c r="D53" s="22"/>
      <x:c r="E53" s="22"/>
      <x:c r="F53" s="18"/>
      <x:c r="G53" s="18"/>
      <x:c r="H53" s="18"/>
      <x:c r="I53" s="18"/>
      <x:c r="J53" s="18"/>
      <x:c r="K53" s="18"/>
      <x:c r="L53" s="18"/>
    </x:row>
    <x:row r="54" ht="30" customHeight="1">
      <x:c r="A54" s="18"/>
      <x:c r="B54" s="22"/>
      <x:c r="C54" s="18"/>
      <x:c r="D54" s="22"/>
      <x:c r="E54" s="22"/>
      <x:c r="F54" s="18"/>
      <x:c r="G54" s="18"/>
      <x:c r="H54" s="18"/>
      <x:c r="I54" s="18"/>
      <x:c r="J54" s="18"/>
      <x:c r="K54" s="18"/>
      <x:c r="L54" s="18"/>
    </x:row>
    <x:row r="55" ht="30" customHeight="1">
      <x:c r="A55" s="18"/>
      <x:c r="B55" s="22"/>
      <x:c r="C55" s="18"/>
      <x:c r="D55" s="22"/>
      <x:c r="E55" s="22"/>
      <x:c r="F55" s="18"/>
      <x:c r="G55" s="18"/>
      <x:c r="H55" s="18"/>
      <x:c r="I55" s="18"/>
      <x:c r="J55" s="18"/>
      <x:c r="K55" s="18"/>
      <x:c r="L55" s="18"/>
    </x:row>
    <x:row r="56" ht="30" customHeight="1">
      <x:c r="A56" s="18"/>
      <x:c r="B56" s="22"/>
      <x:c r="C56" s="18"/>
      <x:c r="D56" s="22"/>
      <x:c r="E56" s="22"/>
      <x:c r="F56" s="18"/>
      <x:c r="G56" s="18"/>
      <x:c r="H56" s="18"/>
      <x:c r="I56" s="18"/>
      <x:c r="J56" s="18"/>
      <x:c r="K56" s="18"/>
      <x:c r="L56" s="18"/>
    </x:row>
    <x:row r="57" ht="30" customHeight="1">
      <x:c r="A57" s="18"/>
      <x:c r="B57" s="22"/>
      <x:c r="C57" s="18"/>
      <x:c r="D57" s="22"/>
      <x:c r="E57" s="22"/>
      <x:c r="F57" s="18"/>
      <x:c r="G57" s="18"/>
      <x:c r="H57" s="18"/>
      <x:c r="I57" s="18"/>
      <x:c r="J57" s="18"/>
      <x:c r="K57" s="18"/>
      <x:c r="L57" s="18"/>
    </x:row>
    <x:row r="58" ht="30" customHeight="1">
      <x:c r="A58" s="18"/>
      <x:c r="B58" s="22"/>
      <x:c r="C58" s="18"/>
      <x:c r="D58" s="22"/>
      <x:c r="E58" s="22"/>
      <x:c r="F58" s="18"/>
      <x:c r="G58" s="18"/>
      <x:c r="H58" s="18"/>
      <x:c r="I58" s="18"/>
      <x:c r="J58" s="18"/>
      <x:c r="K58" s="18"/>
      <x:c r="L58" s="18"/>
    </x:row>
    <x:row r="59" ht="30" customHeight="1">
      <x:c r="A59" s="18"/>
      <x:c r="B59" s="22"/>
      <x:c r="C59" s="18"/>
      <x:c r="D59" s="22"/>
      <x:c r="E59" s="22"/>
      <x:c r="F59" s="18"/>
      <x:c r="G59" s="18"/>
      <x:c r="H59" s="18"/>
      <x:c r="I59" s="18"/>
      <x:c r="J59" s="18"/>
      <x:c r="K59" s="18"/>
      <x:c r="L59" s="18"/>
    </x:row>
    <x:row r="60" ht="30" customHeight="1">
      <x:c r="A60" s="18"/>
      <x:c r="B60" s="22"/>
      <x:c r="C60" s="18"/>
      <x:c r="D60" s="22"/>
      <x:c r="E60" s="22"/>
      <x:c r="F60" s="18"/>
      <x:c r="G60" s="18"/>
      <x:c r="H60" s="18"/>
      <x:c r="I60" s="18"/>
      <x:c r="J60" s="18"/>
      <x:c r="K60" s="18"/>
      <x:c r="L60" s="18"/>
    </x:row>
    <x:row r="61" ht="30" customHeight="1">
      <x:c r="A61" s="18"/>
      <x:c r="B61" s="22"/>
      <x:c r="C61" s="18"/>
      <x:c r="D61" s="22"/>
      <x:c r="E61" s="22"/>
      <x:c r="F61" s="18"/>
      <x:c r="G61" s="18"/>
      <x:c r="H61" s="18"/>
      <x:c r="I61" s="18"/>
      <x:c r="J61" s="18"/>
      <x:c r="K61" s="18"/>
      <x:c r="L61" s="18"/>
    </x:row>
    <x:row r="62" ht="30" customHeight="1">
      <x:c r="A62" s="18"/>
      <x:c r="B62" s="22"/>
      <x:c r="C62" s="18"/>
      <x:c r="D62" s="22"/>
      <x:c r="E62" s="22"/>
      <x:c r="F62" s="18"/>
      <x:c r="G62" s="18"/>
      <x:c r="H62" s="18"/>
      <x:c r="I62" s="18"/>
      <x:c r="J62" s="18"/>
      <x:c r="K62" s="18"/>
      <x:c r="L62" s="18"/>
    </x:row>
    <x:row r="63" ht="30" customHeight="1">
      <x:c r="A63" s="18"/>
      <x:c r="B63" s="22"/>
      <x:c r="C63" s="18"/>
      <x:c r="D63" s="22"/>
      <x:c r="E63" s="22"/>
      <x:c r="F63" s="18"/>
      <x:c r="G63" s="18"/>
      <x:c r="H63" s="18"/>
      <x:c r="I63" s="18"/>
      <x:c r="J63" s="18"/>
      <x:c r="K63" s="18"/>
      <x:c r="L63" s="18"/>
    </x:row>
    <x:row r="64" ht="30" customHeight="1">
      <x:c r="A64" s="18"/>
      <x:c r="B64" s="22"/>
      <x:c r="C64" s="18"/>
      <x:c r="D64" s="22"/>
      <x:c r="E64" s="22"/>
      <x:c r="F64" s="18"/>
      <x:c r="G64" s="18"/>
      <x:c r="H64" s="18"/>
      <x:c r="I64" s="18"/>
      <x:c r="J64" s="18"/>
      <x:c r="K64" s="18"/>
      <x:c r="L64" s="18"/>
    </x:row>
    <x:row r="65" ht="30" customHeight="1">
      <x:c r="A65" s="18"/>
      <x:c r="B65" s="22"/>
      <x:c r="C65" s="18"/>
      <x:c r="D65" s="22"/>
      <x:c r="E65" s="22"/>
      <x:c r="F65" s="18"/>
      <x:c r="G65" s="18"/>
      <x:c r="H65" s="18"/>
      <x:c r="I65" s="18"/>
      <x:c r="J65" s="18"/>
      <x:c r="K65" s="18"/>
      <x:c r="L65" s="18"/>
    </x:row>
    <x:row r="66" ht="30" customHeight="1">
      <x:c r="A66" s="18"/>
      <x:c r="B66" s="22"/>
      <x:c r="C66" s="18"/>
      <x:c r="D66" s="22"/>
      <x:c r="E66" s="22"/>
      <x:c r="F66" s="18"/>
      <x:c r="G66" s="18"/>
      <x:c r="H66" s="18"/>
      <x:c r="I66" s="18"/>
      <x:c r="J66" s="18"/>
      <x:c r="K66" s="18"/>
      <x:c r="L66" s="18"/>
    </x:row>
    <x:row r="67" ht="30" customHeight="1">
      <x:c r="A67" s="18"/>
      <x:c r="B67" s="22"/>
      <x:c r="C67" s="18"/>
      <x:c r="D67" s="22"/>
      <x:c r="E67" s="22"/>
      <x:c r="F67" s="18"/>
      <x:c r="G67" s="18"/>
      <x:c r="H67" s="18"/>
      <x:c r="I67" s="18"/>
      <x:c r="J67" s="18"/>
      <x:c r="K67" s="18"/>
      <x:c r="L67" s="18"/>
    </x:row>
    <x:row r="68" ht="30" customHeight="1">
      <x:c r="A68" s="18"/>
      <x:c r="B68" s="22"/>
      <x:c r="C68" s="18"/>
      <x:c r="D68" s="22"/>
      <x:c r="E68" s="22"/>
      <x:c r="F68" s="18"/>
      <x:c r="G68" s="18"/>
      <x:c r="H68" s="18"/>
      <x:c r="I68" s="18"/>
      <x:c r="J68" s="18"/>
      <x:c r="K68" s="18"/>
      <x:c r="L68" s="18"/>
    </x:row>
    <x:row r="69" ht="30" customHeight="1">
      <x:c r="A69" s="18"/>
      <x:c r="B69" s="22"/>
      <x:c r="C69" s="18"/>
      <x:c r="D69" s="22"/>
      <x:c r="E69" s="22"/>
      <x:c r="F69" s="18"/>
      <x:c r="G69" s="18"/>
      <x:c r="H69" s="18"/>
      <x:c r="I69" s="18"/>
      <x:c r="J69" s="18"/>
      <x:c r="K69" s="18"/>
      <x:c r="L69" s="18"/>
    </x:row>
    <x:row r="70" ht="30" customHeight="1">
      <x:c r="A70" s="18"/>
      <x:c r="B70" s="22"/>
      <x:c r="C70" s="18"/>
      <x:c r="D70" s="22"/>
      <x:c r="E70" s="22"/>
      <x:c r="F70" s="18"/>
      <x:c r="G70" s="18"/>
      <x:c r="H70" s="18"/>
      <x:c r="I70" s="18"/>
      <x:c r="J70" s="18"/>
      <x:c r="K70" s="18"/>
      <x:c r="L70" s="18"/>
    </x:row>
    <x:row r="71" ht="30" customHeight="1">
      <x:c r="A71" s="18"/>
      <x:c r="B71" s="22"/>
      <x:c r="C71" s="18"/>
      <x:c r="D71" s="22"/>
      <x:c r="E71" s="22"/>
      <x:c r="F71" s="18"/>
      <x:c r="G71" s="18"/>
      <x:c r="H71" s="18"/>
      <x:c r="I71" s="18"/>
      <x:c r="J71" s="18"/>
      <x:c r="K71" s="18"/>
      <x:c r="L71" s="18"/>
    </x:row>
    <x:row r="72" ht="30" customHeight="1">
      <x:c r="A72" s="18"/>
      <x:c r="B72" s="22"/>
      <x:c r="C72" s="18"/>
      <x:c r="D72" s="22"/>
      <x:c r="E72" s="22"/>
      <x:c r="F72" s="18"/>
      <x:c r="G72" s="18"/>
      <x:c r="H72" s="18"/>
      <x:c r="I72" s="18"/>
      <x:c r="J72" s="18"/>
      <x:c r="K72" s="18"/>
      <x:c r="L72" s="18"/>
    </x:row>
    <x:row r="73" ht="30" customHeight="1">
      <x:c r="A73" s="18"/>
      <x:c r="B73" s="22"/>
      <x:c r="C73" s="18"/>
      <x:c r="D73" s="22"/>
      <x:c r="E73" s="22"/>
      <x:c r="F73" s="18"/>
      <x:c r="G73" s="18"/>
      <x:c r="H73" s="18"/>
      <x:c r="I73" s="18"/>
      <x:c r="J73" s="18"/>
      <x:c r="K73" s="18"/>
      <x:c r="L73" s="18"/>
    </x:row>
    <x:row r="74" ht="30" customHeight="1">
      <x:c r="A74" s="18"/>
      <x:c r="B74" s="22"/>
      <x:c r="C74" s="18"/>
      <x:c r="D74" s="22"/>
      <x:c r="E74" s="22"/>
      <x:c r="F74" s="18"/>
      <x:c r="G74" s="18"/>
      <x:c r="H74" s="18"/>
      <x:c r="I74" s="18"/>
      <x:c r="J74" s="18"/>
      <x:c r="K74" s="18"/>
      <x:c r="L74" s="18"/>
    </x:row>
    <x:row r="75" ht="30" customHeight="1">
      <x:c r="A75" s="18"/>
      <x:c r="B75" s="22"/>
      <x:c r="C75" s="18"/>
      <x:c r="D75" s="22"/>
      <x:c r="E75" s="22"/>
      <x:c r="F75" s="18"/>
      <x:c r="G75" s="18"/>
      <x:c r="H75" s="18"/>
      <x:c r="I75" s="18"/>
      <x:c r="J75" s="18"/>
      <x:c r="K75" s="18"/>
      <x:c r="L75" s="18"/>
    </x:row>
    <x:row r="76" ht="30" customHeight="1">
      <x:c r="A76" s="18"/>
      <x:c r="B76" s="22"/>
      <x:c r="C76" s="18"/>
      <x:c r="D76" s="22"/>
      <x:c r="E76" s="22"/>
      <x:c r="F76" s="18"/>
      <x:c r="G76" s="18"/>
      <x:c r="H76" s="18"/>
      <x:c r="I76" s="18"/>
      <x:c r="J76" s="18"/>
      <x:c r="K76" s="18"/>
      <x:c r="L76" s="18"/>
    </x:row>
    <x:row r="77" ht="30" customHeight="1">
      <x:c r="A77" s="18"/>
      <x:c r="B77" s="22"/>
      <x:c r="C77" s="18"/>
      <x:c r="D77" s="22"/>
      <x:c r="E77" s="22"/>
      <x:c r="F77" s="18"/>
      <x:c r="G77" s="18"/>
      <x:c r="H77" s="18"/>
      <x:c r="I77" s="18"/>
      <x:c r="J77" s="18"/>
      <x:c r="K77" s="18"/>
      <x:c r="L77" s="18"/>
    </x:row>
    <x:row r="78" ht="30" customHeight="1">
      <x:c r="A78" s="18"/>
      <x:c r="B78" s="22"/>
      <x:c r="C78" s="18"/>
      <x:c r="D78" s="22"/>
      <x:c r="E78" s="22"/>
      <x:c r="F78" s="18"/>
      <x:c r="G78" s="18"/>
      <x:c r="H78" s="18"/>
      <x:c r="I78" s="18"/>
      <x:c r="J78" s="18"/>
      <x:c r="K78" s="18"/>
      <x:c r="L78" s="18"/>
    </x:row>
    <x:row r="79" ht="30" customHeight="1">
      <x:c r="A79" s="18"/>
      <x:c r="B79" s="22"/>
      <x:c r="C79" s="18"/>
      <x:c r="D79" s="22"/>
      <x:c r="E79" s="22"/>
      <x:c r="F79" s="18"/>
      <x:c r="G79" s="18"/>
      <x:c r="H79" s="18"/>
      <x:c r="I79" s="18"/>
      <x:c r="J79" s="18"/>
      <x:c r="K79" s="18"/>
      <x:c r="L79" s="18"/>
    </x:row>
    <x:row r="80" ht="30" customHeight="1">
      <x:c r="A80" s="18"/>
      <x:c r="B80" s="22"/>
      <x:c r="C80" s="18"/>
      <x:c r="D80" s="22"/>
      <x:c r="E80" s="22"/>
      <x:c r="F80" s="18"/>
      <x:c r="G80" s="18"/>
      <x:c r="H80" s="18"/>
      <x:c r="I80" s="18"/>
      <x:c r="J80" s="18"/>
      <x:c r="K80" s="18"/>
      <x:c r="L80" s="18"/>
    </x:row>
    <x:row r="81" ht="30" customHeight="1">
      <x:c r="A81" s="18"/>
      <x:c r="B81" s="22"/>
      <x:c r="C81" s="18"/>
      <x:c r="D81" s="22"/>
      <x:c r="E81" s="22"/>
      <x:c r="F81" s="18"/>
      <x:c r="G81" s="18"/>
      <x:c r="H81" s="18"/>
      <x:c r="I81" s="18"/>
      <x:c r="J81" s="18"/>
      <x:c r="K81" s="18"/>
      <x:c r="L81" s="18"/>
    </x:row>
    <x:row r="82" ht="30" customHeight="1">
      <x:c r="A82" s="18"/>
      <x:c r="B82" s="22"/>
      <x:c r="C82" s="18"/>
      <x:c r="D82" s="22"/>
      <x:c r="E82" s="22"/>
      <x:c r="F82" s="18"/>
      <x:c r="G82" s="18"/>
      <x:c r="H82" s="18"/>
      <x:c r="I82" s="18"/>
      <x:c r="J82" s="18"/>
      <x:c r="K82" s="18"/>
      <x:c r="L82" s="18"/>
    </x:row>
    <x:row r="83" ht="30" customHeight="1">
      <x:c r="A83" s="18"/>
      <x:c r="B83" s="22"/>
      <x:c r="C83" s="18"/>
      <x:c r="D83" s="22"/>
      <x:c r="E83" s="22"/>
      <x:c r="F83" s="18"/>
      <x:c r="G83" s="18"/>
      <x:c r="H83" s="18"/>
      <x:c r="I83" s="18"/>
      <x:c r="J83" s="18"/>
      <x:c r="K83" s="18"/>
      <x:c r="L83" s="18"/>
    </x:row>
    <x:row r="84" ht="30" customHeight="1">
      <x:c r="A84" s="18"/>
      <x:c r="B84" s="22"/>
      <x:c r="C84" s="18"/>
      <x:c r="D84" s="22"/>
      <x:c r="E84" s="22"/>
      <x:c r="F84" s="18"/>
      <x:c r="G84" s="18"/>
      <x:c r="H84" s="18"/>
      <x:c r="I84" s="18"/>
      <x:c r="J84" s="18"/>
      <x:c r="K84" s="18"/>
      <x:c r="L84" s="18"/>
    </x:row>
    <x:row r="85" ht="30" customHeight="1">
      <x:c r="A85" s="18"/>
      <x:c r="B85" s="22"/>
      <x:c r="C85" s="18"/>
      <x:c r="D85" s="22"/>
      <x:c r="E85" s="22"/>
      <x:c r="F85" s="18"/>
      <x:c r="G85" s="18"/>
      <x:c r="H85" s="18"/>
      <x:c r="I85" s="18"/>
      <x:c r="J85" s="18"/>
      <x:c r="K85" s="18"/>
      <x:c r="L85" s="18"/>
    </x:row>
    <x:row r="86" ht="30" customHeight="1">
      <x:c r="A86" s="18"/>
      <x:c r="B86" s="22"/>
      <x:c r="C86" s="18"/>
      <x:c r="D86" s="22"/>
      <x:c r="E86" s="22"/>
      <x:c r="F86" s="18"/>
      <x:c r="G86" s="18"/>
      <x:c r="H86" s="18"/>
      <x:c r="I86" s="18"/>
      <x:c r="J86" s="18"/>
      <x:c r="K86" s="18"/>
      <x:c r="L86" s="18"/>
    </x:row>
    <x:row r="87" ht="30" customHeight="1">
      <x:c r="A87" s="18"/>
      <x:c r="B87" s="22"/>
      <x:c r="C87" s="18"/>
      <x:c r="D87" s="22"/>
      <x:c r="E87" s="22"/>
      <x:c r="F87" s="18"/>
      <x:c r="G87" s="18"/>
      <x:c r="H87" s="18"/>
      <x:c r="I87" s="18"/>
      <x:c r="J87" s="18"/>
      <x:c r="K87" s="18"/>
      <x:c r="L87" s="18"/>
    </x:row>
    <x:row r="88" ht="30" customHeight="1">
      <x:c r="A88" s="18"/>
      <x:c r="B88" s="22"/>
      <x:c r="C88" s="18"/>
      <x:c r="D88" s="22"/>
      <x:c r="E88" s="22"/>
      <x:c r="F88" s="18"/>
      <x:c r="G88" s="18"/>
      <x:c r="H88" s="18"/>
      <x:c r="I88" s="18"/>
      <x:c r="J88" s="18"/>
      <x:c r="K88" s="18"/>
      <x:c r="L88" s="18"/>
    </x:row>
    <x:row r="89" ht="30" customHeight="1">
      <x:c r="A89" s="18"/>
      <x:c r="B89" s="22"/>
      <x:c r="C89" s="18"/>
      <x:c r="D89" s="22"/>
      <x:c r="E89" s="22"/>
      <x:c r="F89" s="18"/>
      <x:c r="G89" s="18"/>
      <x:c r="H89" s="18"/>
      <x:c r="I89" s="18"/>
      <x:c r="J89" s="18"/>
      <x:c r="K89" s="18"/>
      <x:c r="L89" s="18"/>
    </x:row>
    <x:row r="90" ht="30" customHeight="1">
      <x:c r="A90" s="18"/>
      <x:c r="B90" s="22"/>
      <x:c r="C90" s="18"/>
      <x:c r="D90" s="22"/>
      <x:c r="E90" s="22"/>
      <x:c r="F90" s="18"/>
      <x:c r="G90" s="18"/>
      <x:c r="H90" s="18"/>
      <x:c r="I90" s="18"/>
      <x:c r="J90" s="18"/>
      <x:c r="K90" s="18"/>
      <x:c r="L90" s="18"/>
    </x:row>
    <x:row r="91" ht="30" customHeight="1">
      <x:c r="A91" s="18"/>
      <x:c r="B91" s="22"/>
      <x:c r="C91" s="18"/>
      <x:c r="D91" s="22"/>
      <x:c r="E91" s="22"/>
      <x:c r="F91" s="18"/>
      <x:c r="G91" s="18"/>
      <x:c r="H91" s="18"/>
      <x:c r="I91" s="18"/>
      <x:c r="J91" s="18"/>
      <x:c r="K91" s="18"/>
      <x:c r="L91" s="18"/>
    </x:row>
    <x:row r="92" ht="30" customHeight="1">
      <x:c r="A92" s="18"/>
      <x:c r="B92" s="22"/>
      <x:c r="C92" s="18"/>
      <x:c r="D92" s="22"/>
      <x:c r="E92" s="22"/>
      <x:c r="F92" s="18"/>
      <x:c r="G92" s="18"/>
      <x:c r="H92" s="18"/>
      <x:c r="I92" s="18"/>
      <x:c r="J92" s="18"/>
      <x:c r="K92" s="18"/>
      <x:c r="L92" s="18"/>
    </x:row>
    <x:row r="93" ht="30" customHeight="1">
      <x:c r="A93" s="18"/>
      <x:c r="B93" s="22"/>
      <x:c r="C93" s="18"/>
      <x:c r="D93" s="22"/>
      <x:c r="E93" s="22"/>
      <x:c r="F93" s="18"/>
      <x:c r="G93" s="18"/>
      <x:c r="H93" s="18"/>
      <x:c r="I93" s="18"/>
      <x:c r="J93" s="18"/>
      <x:c r="K93" s="18"/>
      <x:c r="L93" s="18"/>
    </x:row>
    <x:row r="94" ht="30" customHeight="1">
      <x:c r="A94" s="18"/>
      <x:c r="B94" s="22"/>
      <x:c r="C94" s="18"/>
      <x:c r="D94" s="22"/>
      <x:c r="E94" s="22"/>
      <x:c r="F94" s="18"/>
      <x:c r="G94" s="18"/>
      <x:c r="H94" s="18"/>
      <x:c r="I94" s="18"/>
      <x:c r="J94" s="18"/>
      <x:c r="K94" s="18"/>
      <x:c r="L94" s="18"/>
    </x:row>
    <x:row r="95" ht="30" customHeight="1">
      <x:c r="A95" s="18"/>
      <x:c r="B95" s="22"/>
      <x:c r="C95" s="18"/>
      <x:c r="D95" s="22"/>
      <x:c r="E95" s="22"/>
      <x:c r="F95" s="18"/>
      <x:c r="G95" s="18"/>
      <x:c r="H95" s="18"/>
      <x:c r="I95" s="18"/>
      <x:c r="J95" s="18"/>
      <x:c r="K95" s="18"/>
      <x:c r="L95" s="18"/>
    </x:row>
    <x:row r="96" ht="30" customHeight="1">
      <x:c r="A96" s="18"/>
      <x:c r="B96" s="22"/>
      <x:c r="C96" s="18"/>
      <x:c r="D96" s="22"/>
      <x:c r="E96" s="22"/>
      <x:c r="F96" s="18"/>
      <x:c r="G96" s="18"/>
      <x:c r="H96" s="18"/>
      <x:c r="I96" s="18"/>
      <x:c r="J96" s="18"/>
      <x:c r="K96" s="18"/>
      <x:c r="L96" s="18"/>
    </x:row>
    <x:row r="97" ht="30" customHeight="1">
      <x:c r="A97" s="18"/>
      <x:c r="B97" s="22"/>
      <x:c r="C97" s="18"/>
      <x:c r="D97" s="22"/>
      <x:c r="E97" s="22"/>
      <x:c r="F97" s="18"/>
      <x:c r="G97" s="18"/>
      <x:c r="H97" s="18"/>
      <x:c r="I97" s="18"/>
      <x:c r="J97" s="18"/>
      <x:c r="K97" s="18"/>
      <x:c r="L97" s="18"/>
    </x:row>
    <x:row r="98" ht="30" customHeight="1">
      <x:c r="A98" s="18"/>
      <x:c r="B98" s="22"/>
      <x:c r="C98" s="18"/>
      <x:c r="D98" s="22"/>
      <x:c r="E98" s="22"/>
      <x:c r="F98" s="18"/>
      <x:c r="G98" s="18"/>
      <x:c r="H98" s="18"/>
      <x:c r="I98" s="18"/>
      <x:c r="J98" s="18"/>
      <x:c r="K98" s="18"/>
      <x:c r="L98" s="18"/>
    </x:row>
    <x:row r="99" ht="30" customHeight="1">
      <x:c r="A99" s="18"/>
      <x:c r="B99" s="22"/>
      <x:c r="C99" s="18"/>
      <x:c r="D99" s="22"/>
      <x:c r="E99" s="22"/>
      <x:c r="F99" s="18"/>
      <x:c r="G99" s="18"/>
      <x:c r="H99" s="18"/>
      <x:c r="I99" s="18"/>
      <x:c r="J99" s="18"/>
      <x:c r="K99" s="18"/>
      <x:c r="L99" s="18"/>
    </x:row>
    <x:row r="100" ht="30" customHeight="1">
      <x:c r="A100" s="18"/>
      <x:c r="B100" s="22"/>
      <x:c r="C100" s="18"/>
      <x:c r="D100" s="22"/>
      <x:c r="E100" s="22"/>
      <x:c r="F100" s="18"/>
      <x:c r="G100" s="18"/>
      <x:c r="H100" s="18"/>
      <x:c r="I100" s="18"/>
      <x:c r="J100" s="18"/>
      <x:c r="K100" s="18"/>
      <x:c r="L100" s="18"/>
    </x:row>
    <x:row r="101" ht="30" customHeight="1">
      <x:c r="A101" s="18"/>
      <x:c r="B101" s="22"/>
      <x:c r="C101" s="18"/>
      <x:c r="D101" s="22"/>
      <x:c r="E101" s="22"/>
      <x:c r="F101" s="18"/>
      <x:c r="G101" s="18"/>
      <x:c r="H101" s="18"/>
      <x:c r="I101" s="18"/>
      <x:c r="J101" s="18"/>
      <x:c r="K101" s="18"/>
      <x:c r="L101" s="18"/>
    </x:row>
    <x:row r="102" ht="30" customHeight="1">
      <x:c r="A102" s="18"/>
      <x:c r="B102" s="22"/>
      <x:c r="C102" s="18"/>
      <x:c r="D102" s="22"/>
      <x:c r="E102" s="22"/>
      <x:c r="F102" s="18"/>
      <x:c r="G102" s="18"/>
      <x:c r="H102" s="18"/>
      <x:c r="I102" s="18"/>
      <x:c r="J102" s="18"/>
      <x:c r="K102" s="18"/>
      <x:c r="L102" s="18"/>
    </x:row>
    <x:row r="103" ht="30" customHeight="1">
      <x:c r="A103" s="18"/>
      <x:c r="B103" s="22"/>
      <x:c r="C103" s="18"/>
      <x:c r="D103" s="22"/>
      <x:c r="E103" s="22"/>
      <x:c r="F103" s="18"/>
      <x:c r="G103" s="18"/>
      <x:c r="H103" s="18"/>
      <x:c r="I103" s="18"/>
      <x:c r="J103" s="18"/>
      <x:c r="K103" s="18"/>
      <x:c r="L103" s="18"/>
    </x:row>
    <x:row r="104" ht="30" customHeight="1">
      <x:c r="A104" s="18"/>
      <x:c r="B104" s="22"/>
      <x:c r="C104" s="18"/>
      <x:c r="D104" s="22"/>
      <x:c r="E104" s="22"/>
      <x:c r="F104" s="18"/>
      <x:c r="G104" s="18"/>
      <x:c r="H104" s="18"/>
      <x:c r="I104" s="18"/>
      <x:c r="J104" s="18"/>
      <x:c r="K104" s="18"/>
      <x:c r="L104" s="18"/>
    </x:row>
    <x:row r="105" ht="30" customHeight="1">
      <x:c r="A105" s="18"/>
      <x:c r="B105" s="22"/>
      <x:c r="C105" s="18"/>
      <x:c r="D105" s="22"/>
      <x:c r="E105" s="22"/>
      <x:c r="F105" s="18"/>
      <x:c r="G105" s="18"/>
      <x:c r="H105" s="18"/>
      <x:c r="I105" s="18"/>
      <x:c r="J105" s="18"/>
      <x:c r="K105" s="18"/>
      <x:c r="L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68f6d6cfcdca4e4f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8" hidden="0" customWidth="1"/>
    <x:col min="13" max="13" width="38" hidden="0" customWidth="1"/>
  </x:cols>
  <x:sheetData>
    <x:row r="1" ht="34" customHeight="1">
      <x:c r="A1" s="3" t="str">
        <x:v>REFRESH 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Every refresh needs a source, date window, run status and completeness note. Excel does not refresh itself.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refresh_id</x:v>
      </x:c>
      <x:c r="B5" s="12" t="str">
        <x:v>started_at</x:v>
      </x:c>
      <x:c r="C5" s="12" t="str">
        <x:v>source</x:v>
      </x:c>
      <x:c r="D5" s="12" t="str">
        <x:v>scope</x:v>
      </x:c>
      <x:c r="E5" s="12" t="str">
        <x:v>requested_start</x:v>
      </x:c>
      <x:c r="F5" s="12" t="str">
        <x:v>requested_end</x:v>
      </x:c>
      <x:c r="G5" s="12" t="str">
        <x:v>last_complete_date</x:v>
      </x:c>
      <x:c r="H5" s="12" t="str">
        <x:v>rows_received</x:v>
      </x:c>
      <x:c r="I5" s="12" t="str">
        <x:v>status</x:v>
      </x:c>
      <x:c r="J5" s="12" t="str">
        <x:v>pagination_or_limit</x:v>
      </x:c>
      <x:c r="K5" s="12" t="str">
        <x:v>data_quality</x:v>
      </x:c>
      <x:c r="L5" s="12" t="str">
        <x:v>evidence_path</x:v>
      </x:c>
      <x:c r="M5" s="12" t="str">
        <x:v>next_action</x:v>
      </x:c>
    </x:row>
    <x:row r="6" ht="70" customHeight="1">
      <x:c r="A6" s="18" t="str">
        <x:v>PREP-REPO-20260915</x:v>
      </x:c>
      <x:c r="B6" s="22" t="n">
        <x:v>46280</x:v>
      </x:c>
      <x:c r="C6" s="18" t="str">
        <x:v>GitHub</x:v>
      </x:c>
      <x:c r="D6" s="18" t="str">
        <x:v>Selected config, SEO guidance and historical reports</x:v>
      </x:c>
      <x:c r="E6" s="22"/>
      <x:c r="F6" s="22"/>
      <x:c r="G6" s="22"/>
      <x:c r="H6" s="18"/>
      <x:c r="I6" s="18" t="str">
        <x:v>Partial</x:v>
      </x:c>
      <x:c r="J6" s="18" t="str">
        <x:v>Selected files, not all source files</x:v>
      </x:c>
      <x:c r="K6" s="18" t="str">
        <x:v>Historical and code evidence only</x:v>
      </x:c>
      <x:c r="L6" s="18" t="str">
        <x:v>https://github.com/myglobalhealthonline/global-health-website/blob/main/seo/README.md</x:v>
      </x:c>
      <x:c r="M6" s="18" t="str">
        <x:v>Pin current commit for the full audit</x:v>
      </x:c>
    </x:row>
    <x:row r="7" ht="70" customHeight="1">
      <x:c r="A7" s="18" t="str">
        <x:v>PREP-LIVE-20260915</x:v>
      </x:c>
      <x:c r="B7" s="22" t="n">
        <x:v>46280</x:v>
      </x:c>
      <x:c r="C7" s="18" t="str">
        <x:v>Web text retrieval</x:v>
      </x:c>
      <x:c r="D7" s="18" t="str">
        <x:v>Ireland English homepage</x:v>
      </x:c>
      <x:c r="E7" s="22"/>
      <x:c r="F7" s="22"/>
      <x:c r="G7" s="22"/>
      <x:c r="H7" s="18" t="n">
        <x:v>1</x:v>
      </x:c>
      <x:c r="I7" s="18" t="str">
        <x:v>Partial</x:v>
      </x:c>
      <x:c r="J7" s="18" t="str">
        <x:v>Text only; no full sitemap/header/DOM audit</x:v>
      </x:c>
      <x:c r="K7" s="18" t="str">
        <x:v>One page-text observation</x:v>
      </x:c>
      <x:c r="L7" s="18" t="str">
        <x:v>https://www.myglobalhealth.online/ireland/en</x:v>
      </x:c>
      <x:c r="M7" s="18" t="str">
        <x:v>Run bounded crawler and rendered checks</x:v>
      </x:c>
    </x:row>
    <x:row r="8" ht="70" customHeight="1">
      <x:c r="A8" s="18" t="str">
        <x:v>PENDING-ANALYTICS</x:v>
      </x:c>
      <x:c r="B8" s="22" t="n">
        <x:v>46280</x:v>
      </x:c>
      <x:c r="C8" s="18" t="str">
        <x:v>GSC / GA4 / OpenSEO</x:v>
      </x:c>
      <x:c r="D8" s="18" t="str">
        <x:v>Fresh performance exports</x:v>
      </x:c>
      <x:c r="E8" s="22"/>
      <x:c r="F8" s="22"/>
      <x:c r="G8" s="22"/>
      <x:c r="H8" s="18"/>
      <x:c r="I8" s="18" t="str">
        <x:v>Not run</x:v>
      </x:c>
      <x:c r="J8" s="18" t="str">
        <x:v>No current authenticated provider call</x:v>
      </x:c>
      <x:c r="K8" s="18" t="str">
        <x:v>No invented measurements</x:v>
      </x:c>
      <x:c r="L8" s="18"/>
      <x:c r="M8" s="18" t="str">
        <x:v>Discover existing connections in audit runtime</x:v>
      </x:c>
    </x:row>
    <x:row r="9" ht="30" customHeight="1">
      <x:c r="A9" s="18"/>
      <x:c r="B9" s="22"/>
      <x:c r="C9" s="18"/>
      <x:c r="D9" s="18"/>
      <x:c r="E9" s="22"/>
      <x:c r="F9" s="22"/>
      <x:c r="G9" s="22"/>
      <x:c r="H9" s="18"/>
      <x:c r="I9" s="18"/>
      <x:c r="J9" s="18"/>
      <x:c r="K9" s="18"/>
      <x:c r="L9" s="18"/>
      <x:c r="M9" s="18"/>
    </x:row>
    <x:row r="10" ht="30" customHeight="1">
      <x:c r="A10" s="18"/>
      <x:c r="B10" s="22"/>
      <x:c r="C10" s="18"/>
      <x:c r="D10" s="18"/>
      <x:c r="E10" s="22"/>
      <x:c r="F10" s="22"/>
      <x:c r="G10" s="22"/>
      <x:c r="H10" s="18"/>
      <x:c r="I10" s="18"/>
      <x:c r="J10" s="18"/>
      <x:c r="K10" s="18"/>
      <x:c r="L10" s="18"/>
      <x:c r="M10" s="18"/>
    </x:row>
    <x:row r="11" ht="30" customHeight="1">
      <x:c r="A11" s="18"/>
      <x:c r="B11" s="22"/>
      <x:c r="C11" s="18"/>
      <x:c r="D11" s="18"/>
      <x:c r="E11" s="22"/>
      <x:c r="F11" s="22"/>
      <x:c r="G11" s="22"/>
      <x:c r="H11" s="18"/>
      <x:c r="I11" s="18"/>
      <x:c r="J11" s="18"/>
      <x:c r="K11" s="18"/>
      <x:c r="L11" s="18"/>
      <x:c r="M11" s="18"/>
    </x:row>
    <x:row r="12" ht="30" customHeight="1">
      <x:c r="A12" s="18"/>
      <x:c r="B12" s="22"/>
      <x:c r="C12" s="18"/>
      <x:c r="D12" s="18"/>
      <x:c r="E12" s="22"/>
      <x:c r="F12" s="22"/>
      <x:c r="G12" s="22"/>
      <x:c r="H12" s="18"/>
      <x:c r="I12" s="18"/>
      <x:c r="J12" s="18"/>
      <x:c r="K12" s="18"/>
      <x:c r="L12" s="18"/>
      <x:c r="M12" s="18"/>
    </x:row>
    <x:row r="13" ht="30" customHeight="1">
      <x:c r="A13" s="18"/>
      <x:c r="B13" s="22"/>
      <x:c r="C13" s="18"/>
      <x:c r="D13" s="18"/>
      <x:c r="E13" s="22"/>
      <x:c r="F13" s="22"/>
      <x:c r="G13" s="22"/>
      <x:c r="H13" s="18"/>
      <x:c r="I13" s="18"/>
      <x:c r="J13" s="18"/>
      <x:c r="K13" s="18"/>
      <x:c r="L13" s="18"/>
      <x:c r="M13" s="18"/>
    </x:row>
    <x:row r="14" ht="30" customHeight="1">
      <x:c r="A14" s="18"/>
      <x:c r="B14" s="22"/>
      <x:c r="C14" s="18"/>
      <x:c r="D14" s="18"/>
      <x:c r="E14" s="22"/>
      <x:c r="F14" s="22"/>
      <x:c r="G14" s="22"/>
      <x:c r="H14" s="18"/>
      <x:c r="I14" s="18"/>
      <x:c r="J14" s="18"/>
      <x:c r="K14" s="18"/>
      <x:c r="L14" s="18"/>
      <x:c r="M14" s="18"/>
    </x:row>
    <x:row r="15" ht="30" customHeight="1">
      <x:c r="A15" s="18"/>
      <x:c r="B15" s="22"/>
      <x:c r="C15" s="18"/>
      <x:c r="D15" s="18"/>
      <x:c r="E15" s="22"/>
      <x:c r="F15" s="22"/>
      <x:c r="G15" s="22"/>
      <x:c r="H15" s="18"/>
      <x:c r="I15" s="18"/>
      <x:c r="J15" s="18"/>
      <x:c r="K15" s="18"/>
      <x:c r="L15" s="18"/>
      <x:c r="M15" s="18"/>
    </x:row>
    <x:row r="16" ht="30" customHeight="1">
      <x:c r="A16" s="18"/>
      <x:c r="B16" s="22"/>
      <x:c r="C16" s="18"/>
      <x:c r="D16" s="18"/>
      <x:c r="E16" s="22"/>
      <x:c r="F16" s="22"/>
      <x:c r="G16" s="22"/>
      <x:c r="H16" s="18"/>
      <x:c r="I16" s="18"/>
      <x:c r="J16" s="18"/>
      <x:c r="K16" s="18"/>
      <x:c r="L16" s="18"/>
      <x:c r="M16" s="18"/>
    </x:row>
    <x:row r="17" ht="30" customHeight="1">
      <x:c r="A17" s="18"/>
      <x:c r="B17" s="22"/>
      <x:c r="C17" s="18"/>
      <x:c r="D17" s="18"/>
      <x:c r="E17" s="22"/>
      <x:c r="F17" s="22"/>
      <x:c r="G17" s="22"/>
      <x:c r="H17" s="18"/>
      <x:c r="I17" s="18"/>
      <x:c r="J17" s="18"/>
      <x:c r="K17" s="18"/>
      <x:c r="L17" s="18"/>
      <x:c r="M17" s="18"/>
    </x:row>
    <x:row r="18" ht="30" customHeight="1">
      <x:c r="A18" s="18"/>
      <x:c r="B18" s="22"/>
      <x:c r="C18" s="18"/>
      <x:c r="D18" s="18"/>
      <x:c r="E18" s="22"/>
      <x:c r="F18" s="22"/>
      <x:c r="G18" s="22"/>
      <x:c r="H18" s="18"/>
      <x:c r="I18" s="18"/>
      <x:c r="J18" s="18"/>
      <x:c r="K18" s="18"/>
      <x:c r="L18" s="18"/>
      <x:c r="M18" s="18"/>
    </x:row>
    <x:row r="19" ht="30" customHeight="1">
      <x:c r="A19" s="18"/>
      <x:c r="B19" s="22"/>
      <x:c r="C19" s="18"/>
      <x:c r="D19" s="18"/>
      <x:c r="E19" s="22"/>
      <x:c r="F19" s="22"/>
      <x:c r="G19" s="22"/>
      <x:c r="H19" s="18"/>
      <x:c r="I19" s="18"/>
      <x:c r="J19" s="18"/>
      <x:c r="K19" s="18"/>
      <x:c r="L19" s="18"/>
      <x:c r="M19" s="18"/>
    </x:row>
    <x:row r="20" ht="30" customHeight="1">
      <x:c r="A20" s="18"/>
      <x:c r="B20" s="22"/>
      <x:c r="C20" s="18"/>
      <x:c r="D20" s="18"/>
      <x:c r="E20" s="22"/>
      <x:c r="F20" s="22"/>
      <x:c r="G20" s="22"/>
      <x:c r="H20" s="18"/>
      <x:c r="I20" s="18"/>
      <x:c r="J20" s="18"/>
      <x:c r="K20" s="18"/>
      <x:c r="L20" s="18"/>
      <x:c r="M20" s="18"/>
    </x:row>
    <x:row r="21" ht="30" customHeight="1">
      <x:c r="A21" s="18"/>
      <x:c r="B21" s="22"/>
      <x:c r="C21" s="18"/>
      <x:c r="D21" s="18"/>
      <x:c r="E21" s="22"/>
      <x:c r="F21" s="22"/>
      <x:c r="G21" s="22"/>
      <x:c r="H21" s="18"/>
      <x:c r="I21" s="18"/>
      <x:c r="J21" s="18"/>
      <x:c r="K21" s="18"/>
      <x:c r="L21" s="18"/>
      <x:c r="M21" s="18"/>
    </x:row>
    <x:row r="22" ht="30" customHeight="1">
      <x:c r="A22" s="18"/>
      <x:c r="B22" s="22"/>
      <x:c r="C22" s="18"/>
      <x:c r="D22" s="18"/>
      <x:c r="E22" s="22"/>
      <x:c r="F22" s="22"/>
      <x:c r="G22" s="22"/>
      <x:c r="H22" s="18"/>
      <x:c r="I22" s="18"/>
      <x:c r="J22" s="18"/>
      <x:c r="K22" s="18"/>
      <x:c r="L22" s="18"/>
      <x:c r="M22" s="18"/>
    </x:row>
    <x:row r="23" ht="30" customHeight="1">
      <x:c r="A23" s="18"/>
      <x:c r="B23" s="22"/>
      <x:c r="C23" s="18"/>
      <x:c r="D23" s="18"/>
      <x:c r="E23" s="22"/>
      <x:c r="F23" s="22"/>
      <x:c r="G23" s="22"/>
      <x:c r="H23" s="18"/>
      <x:c r="I23" s="18"/>
      <x:c r="J23" s="18"/>
      <x:c r="K23" s="18"/>
      <x:c r="L23" s="18"/>
      <x:c r="M23" s="18"/>
    </x:row>
    <x:row r="24" ht="30" customHeight="1">
      <x:c r="A24" s="18"/>
      <x:c r="B24" s="22"/>
      <x:c r="C24" s="18"/>
      <x:c r="D24" s="18"/>
      <x:c r="E24" s="22"/>
      <x:c r="F24" s="22"/>
      <x:c r="G24" s="22"/>
      <x:c r="H24" s="18"/>
      <x:c r="I24" s="18"/>
      <x:c r="J24" s="18"/>
      <x:c r="K24" s="18"/>
      <x:c r="L24" s="18"/>
      <x:c r="M24" s="18"/>
    </x:row>
    <x:row r="25" ht="30" customHeight="1">
      <x:c r="A25" s="18"/>
      <x:c r="B25" s="22"/>
      <x:c r="C25" s="18"/>
      <x:c r="D25" s="18"/>
      <x:c r="E25" s="22"/>
      <x:c r="F25" s="22"/>
      <x:c r="G25" s="22"/>
      <x:c r="H25" s="18"/>
      <x:c r="I25" s="18"/>
      <x:c r="J25" s="18"/>
      <x:c r="K25" s="18"/>
      <x:c r="L25" s="18"/>
      <x:c r="M25" s="18"/>
    </x:row>
    <x:row r="26" ht="30" customHeight="1">
      <x:c r="A26" s="18"/>
      <x:c r="B26" s="22"/>
      <x:c r="C26" s="18"/>
      <x:c r="D26" s="18"/>
      <x:c r="E26" s="22"/>
      <x:c r="F26" s="22"/>
      <x:c r="G26" s="22"/>
      <x:c r="H26" s="18"/>
      <x:c r="I26" s="18"/>
      <x:c r="J26" s="18"/>
      <x:c r="K26" s="18"/>
      <x:c r="L26" s="18"/>
      <x:c r="M26" s="18"/>
    </x:row>
    <x:row r="27" ht="30" customHeight="1">
      <x:c r="A27" s="18"/>
      <x:c r="B27" s="22"/>
      <x:c r="C27" s="18"/>
      <x:c r="D27" s="18"/>
      <x:c r="E27" s="22"/>
      <x:c r="F27" s="22"/>
      <x:c r="G27" s="22"/>
      <x:c r="H27" s="18"/>
      <x:c r="I27" s="18"/>
      <x:c r="J27" s="18"/>
      <x:c r="K27" s="18"/>
      <x:c r="L27" s="18"/>
      <x:c r="M27" s="18"/>
    </x:row>
    <x:row r="28" ht="30" customHeight="1">
      <x:c r="A28" s="18"/>
      <x:c r="B28" s="22"/>
      <x:c r="C28" s="18"/>
      <x:c r="D28" s="18"/>
      <x:c r="E28" s="22"/>
      <x:c r="F28" s="22"/>
      <x:c r="G28" s="22"/>
      <x:c r="H28" s="18"/>
      <x:c r="I28" s="18"/>
      <x:c r="J28" s="18"/>
      <x:c r="K28" s="18"/>
      <x:c r="L28" s="18"/>
      <x:c r="M28" s="18"/>
    </x:row>
    <x:row r="29" ht="30" customHeight="1">
      <x:c r="A29" s="18"/>
      <x:c r="B29" s="22"/>
      <x:c r="C29" s="18"/>
      <x:c r="D29" s="18"/>
      <x:c r="E29" s="22"/>
      <x:c r="F29" s="22"/>
      <x:c r="G29" s="22"/>
      <x:c r="H29" s="18"/>
      <x:c r="I29" s="18"/>
      <x:c r="J29" s="18"/>
      <x:c r="K29" s="18"/>
      <x:c r="L29" s="18"/>
      <x:c r="M29" s="18"/>
    </x:row>
    <x:row r="30" ht="30" customHeight="1">
      <x:c r="A30" s="18"/>
      <x:c r="B30" s="22"/>
      <x:c r="C30" s="18"/>
      <x:c r="D30" s="18"/>
      <x:c r="E30" s="22"/>
      <x:c r="F30" s="22"/>
      <x:c r="G30" s="22"/>
      <x:c r="H30" s="18"/>
      <x:c r="I30" s="18"/>
      <x:c r="J30" s="18"/>
      <x:c r="K30" s="18"/>
      <x:c r="L30" s="18"/>
      <x:c r="M30" s="18"/>
    </x:row>
    <x:row r="31" ht="30" customHeight="1">
      <x:c r="A31" s="18"/>
      <x:c r="B31" s="22"/>
      <x:c r="C31" s="18"/>
      <x:c r="D31" s="18"/>
      <x:c r="E31" s="22"/>
      <x:c r="F31" s="22"/>
      <x:c r="G31" s="22"/>
      <x:c r="H31" s="18"/>
      <x:c r="I31" s="18"/>
      <x:c r="J31" s="18"/>
      <x:c r="K31" s="18"/>
      <x:c r="L31" s="18"/>
      <x:c r="M31" s="18"/>
    </x:row>
    <x:row r="32" ht="30" customHeight="1">
      <x:c r="A32" s="18"/>
      <x:c r="B32" s="22"/>
      <x:c r="C32" s="18"/>
      <x:c r="D32" s="18"/>
      <x:c r="E32" s="22"/>
      <x:c r="F32" s="22"/>
      <x:c r="G32" s="22"/>
      <x:c r="H32" s="18"/>
      <x:c r="I32" s="18"/>
      <x:c r="J32" s="18"/>
      <x:c r="K32" s="18"/>
      <x:c r="L32" s="18"/>
      <x:c r="M32" s="18"/>
    </x:row>
    <x:row r="33" ht="30" customHeight="1">
      <x:c r="A33" s="18"/>
      <x:c r="B33" s="22"/>
      <x:c r="C33" s="18"/>
      <x:c r="D33" s="18"/>
      <x:c r="E33" s="22"/>
      <x:c r="F33" s="22"/>
      <x:c r="G33" s="22"/>
      <x:c r="H33" s="18"/>
      <x:c r="I33" s="18"/>
      <x:c r="J33" s="18"/>
      <x:c r="K33" s="18"/>
      <x:c r="L33" s="18"/>
      <x:c r="M33" s="18"/>
    </x:row>
    <x:row r="34" ht="30" customHeight="1">
      <x:c r="A34" s="18"/>
      <x:c r="B34" s="22"/>
      <x:c r="C34" s="18"/>
      <x:c r="D34" s="18"/>
      <x:c r="E34" s="22"/>
      <x:c r="F34" s="22"/>
      <x:c r="G34" s="22"/>
      <x:c r="H34" s="18"/>
      <x:c r="I34" s="18"/>
      <x:c r="J34" s="18"/>
      <x:c r="K34" s="18"/>
      <x:c r="L34" s="18"/>
      <x:c r="M34" s="18"/>
    </x:row>
    <x:row r="35" ht="30" customHeight="1">
      <x:c r="A35" s="18"/>
      <x:c r="B35" s="22"/>
      <x:c r="C35" s="18"/>
      <x:c r="D35" s="18"/>
      <x:c r="E35" s="22"/>
      <x:c r="F35" s="22"/>
      <x:c r="G35" s="22"/>
      <x:c r="H35" s="18"/>
      <x:c r="I35" s="18"/>
      <x:c r="J35" s="18"/>
      <x:c r="K35" s="18"/>
      <x:c r="L35" s="18"/>
      <x:c r="M35" s="18"/>
    </x:row>
    <x:row r="36" ht="30" customHeight="1">
      <x:c r="A36" s="18"/>
      <x:c r="B36" s="22"/>
      <x:c r="C36" s="18"/>
      <x:c r="D36" s="18"/>
      <x:c r="E36" s="22"/>
      <x:c r="F36" s="22"/>
      <x:c r="G36" s="22"/>
      <x:c r="H36" s="18"/>
      <x:c r="I36" s="18"/>
      <x:c r="J36" s="18"/>
      <x:c r="K36" s="18"/>
      <x:c r="L36" s="18"/>
      <x:c r="M36" s="18"/>
    </x:row>
    <x:row r="37" ht="30" customHeight="1">
      <x:c r="A37" s="18"/>
      <x:c r="B37" s="22"/>
      <x:c r="C37" s="18"/>
      <x:c r="D37" s="18"/>
      <x:c r="E37" s="22"/>
      <x:c r="F37" s="22"/>
      <x:c r="G37" s="22"/>
      <x:c r="H37" s="18"/>
      <x:c r="I37" s="18"/>
      <x:c r="J37" s="18"/>
      <x:c r="K37" s="18"/>
      <x:c r="L37" s="18"/>
      <x:c r="M37" s="18"/>
    </x:row>
    <x:row r="38" ht="30" customHeight="1">
      <x:c r="A38" s="18"/>
      <x:c r="B38" s="22"/>
      <x:c r="C38" s="18"/>
      <x:c r="D38" s="18"/>
      <x:c r="E38" s="22"/>
      <x:c r="F38" s="22"/>
      <x:c r="G38" s="22"/>
      <x:c r="H38" s="18"/>
      <x:c r="I38" s="18"/>
      <x:c r="J38" s="18"/>
      <x:c r="K38" s="18"/>
      <x:c r="L38" s="18"/>
      <x:c r="M38" s="18"/>
    </x:row>
    <x:row r="39" ht="30" customHeight="1">
      <x:c r="A39" s="18"/>
      <x:c r="B39" s="22"/>
      <x:c r="C39" s="18"/>
      <x:c r="D39" s="18"/>
      <x:c r="E39" s="22"/>
      <x:c r="F39" s="22"/>
      <x:c r="G39" s="22"/>
      <x:c r="H39" s="18"/>
      <x:c r="I39" s="18"/>
      <x:c r="J39" s="18"/>
      <x:c r="K39" s="18"/>
      <x:c r="L39" s="18"/>
      <x:c r="M39" s="18"/>
    </x:row>
    <x:row r="40" ht="30" customHeight="1">
      <x:c r="A40" s="18"/>
      <x:c r="B40" s="22"/>
      <x:c r="C40" s="18"/>
      <x:c r="D40" s="18"/>
      <x:c r="E40" s="22"/>
      <x:c r="F40" s="22"/>
      <x:c r="G40" s="22"/>
      <x:c r="H40" s="18"/>
      <x:c r="I40" s="18"/>
      <x:c r="J40" s="18"/>
      <x:c r="K40" s="18"/>
      <x:c r="L40" s="18"/>
      <x:c r="M40" s="18"/>
    </x:row>
    <x:row r="41" ht="30" customHeight="1">
      <x:c r="A41" s="18"/>
      <x:c r="B41" s="22"/>
      <x:c r="C41" s="18"/>
      <x:c r="D41" s="18"/>
      <x:c r="E41" s="22"/>
      <x:c r="F41" s="22"/>
      <x:c r="G41" s="22"/>
      <x:c r="H41" s="18"/>
      <x:c r="I41" s="18"/>
      <x:c r="J41" s="18"/>
      <x:c r="K41" s="18"/>
      <x:c r="L41" s="18"/>
      <x:c r="M41" s="18"/>
    </x:row>
    <x:row r="42" ht="30" customHeight="1">
      <x:c r="A42" s="18"/>
      <x:c r="B42" s="22"/>
      <x:c r="C42" s="18"/>
      <x:c r="D42" s="18"/>
      <x:c r="E42" s="22"/>
      <x:c r="F42" s="22"/>
      <x:c r="G42" s="22"/>
      <x:c r="H42" s="18"/>
      <x:c r="I42" s="18"/>
      <x:c r="J42" s="18"/>
      <x:c r="K42" s="18"/>
      <x:c r="L42" s="18"/>
      <x:c r="M42" s="18"/>
    </x:row>
    <x:row r="43" ht="30" customHeight="1">
      <x:c r="A43" s="18"/>
      <x:c r="B43" s="22"/>
      <x:c r="C43" s="18"/>
      <x:c r="D43" s="18"/>
      <x:c r="E43" s="22"/>
      <x:c r="F43" s="22"/>
      <x:c r="G43" s="22"/>
      <x:c r="H43" s="18"/>
      <x:c r="I43" s="18"/>
      <x:c r="J43" s="18"/>
      <x:c r="K43" s="18"/>
      <x:c r="L43" s="18"/>
      <x:c r="M43" s="18"/>
    </x:row>
    <x:row r="44" ht="30" customHeight="1">
      <x:c r="A44" s="18"/>
      <x:c r="B44" s="22"/>
      <x:c r="C44" s="18"/>
      <x:c r="D44" s="18"/>
      <x:c r="E44" s="22"/>
      <x:c r="F44" s="22"/>
      <x:c r="G44" s="22"/>
      <x:c r="H44" s="18"/>
      <x:c r="I44" s="18"/>
      <x:c r="J44" s="18"/>
      <x:c r="K44" s="18"/>
      <x:c r="L44" s="18"/>
      <x:c r="M44" s="18"/>
    </x:row>
    <x:row r="45" ht="30" customHeight="1">
      <x:c r="A45" s="18"/>
      <x:c r="B45" s="22"/>
      <x:c r="C45" s="18"/>
      <x:c r="D45" s="18"/>
      <x:c r="E45" s="22"/>
      <x:c r="F45" s="22"/>
      <x:c r="G45" s="22"/>
      <x:c r="H45" s="18"/>
      <x:c r="I45" s="18"/>
      <x:c r="J45" s="18"/>
      <x:c r="K45" s="18"/>
      <x:c r="L45" s="18"/>
      <x:c r="M45" s="18"/>
    </x:row>
    <x:row r="46" ht="30" customHeight="1">
      <x:c r="A46" s="18"/>
      <x:c r="B46" s="22"/>
      <x:c r="C46" s="18"/>
      <x:c r="D46" s="18"/>
      <x:c r="E46" s="22"/>
      <x:c r="F46" s="22"/>
      <x:c r="G46" s="22"/>
      <x:c r="H46" s="18"/>
      <x:c r="I46" s="18"/>
      <x:c r="J46" s="18"/>
      <x:c r="K46" s="18"/>
      <x:c r="L46" s="18"/>
      <x:c r="M46" s="18"/>
    </x:row>
    <x:row r="47" ht="30" customHeight="1">
      <x:c r="A47" s="18"/>
      <x:c r="B47" s="22"/>
      <x:c r="C47" s="18"/>
      <x:c r="D47" s="18"/>
      <x:c r="E47" s="22"/>
      <x:c r="F47" s="22"/>
      <x:c r="G47" s="22"/>
      <x:c r="H47" s="18"/>
      <x:c r="I47" s="18"/>
      <x:c r="J47" s="18"/>
      <x:c r="K47" s="18"/>
      <x:c r="L47" s="18"/>
      <x:c r="M47" s="18"/>
    </x:row>
    <x:row r="48" ht="30" customHeight="1">
      <x:c r="A48" s="18"/>
      <x:c r="B48" s="22"/>
      <x:c r="C48" s="18"/>
      <x:c r="D48" s="18"/>
      <x:c r="E48" s="22"/>
      <x:c r="F48" s="22"/>
      <x:c r="G48" s="22"/>
      <x:c r="H48" s="18"/>
      <x:c r="I48" s="18"/>
      <x:c r="J48" s="18"/>
      <x:c r="K48" s="18"/>
      <x:c r="L48" s="18"/>
      <x:c r="M48" s="18"/>
    </x:row>
    <x:row r="49" ht="30" customHeight="1">
      <x:c r="A49" s="18"/>
      <x:c r="B49" s="22"/>
      <x:c r="C49" s="18"/>
      <x:c r="D49" s="18"/>
      <x:c r="E49" s="22"/>
      <x:c r="F49" s="22"/>
      <x:c r="G49" s="22"/>
      <x:c r="H49" s="18"/>
      <x:c r="I49" s="18"/>
      <x:c r="J49" s="18"/>
      <x:c r="K49" s="18"/>
      <x:c r="L49" s="18"/>
      <x:c r="M49" s="18"/>
    </x:row>
    <x:row r="50" ht="30" customHeight="1">
      <x:c r="A50" s="18"/>
      <x:c r="B50" s="22"/>
      <x:c r="C50" s="18"/>
      <x:c r="D50" s="18"/>
      <x:c r="E50" s="22"/>
      <x:c r="F50" s="22"/>
      <x:c r="G50" s="22"/>
      <x:c r="H50" s="18"/>
      <x:c r="I50" s="18"/>
      <x:c r="J50" s="18"/>
      <x:c r="K50" s="18"/>
      <x:c r="L50" s="18"/>
      <x:c r="M50" s="18"/>
    </x:row>
    <x:row r="51" ht="30" customHeight="1">
      <x:c r="A51" s="18"/>
      <x:c r="B51" s="22"/>
      <x:c r="C51" s="18"/>
      <x:c r="D51" s="18"/>
      <x:c r="E51" s="22"/>
      <x:c r="F51" s="22"/>
      <x:c r="G51" s="22"/>
      <x:c r="H51" s="18"/>
      <x:c r="I51" s="18"/>
      <x:c r="J51" s="18"/>
      <x:c r="K51" s="18"/>
      <x:c r="L51" s="18"/>
      <x:c r="M51" s="18"/>
    </x:row>
    <x:row r="52" ht="30" customHeight="1">
      <x:c r="A52" s="18"/>
      <x:c r="B52" s="22"/>
      <x:c r="C52" s="18"/>
      <x:c r="D52" s="18"/>
      <x:c r="E52" s="22"/>
      <x:c r="F52" s="22"/>
      <x:c r="G52" s="22"/>
      <x:c r="H52" s="18"/>
      <x:c r="I52" s="18"/>
      <x:c r="J52" s="18"/>
      <x:c r="K52" s="18"/>
      <x:c r="L52" s="18"/>
      <x:c r="M52" s="18"/>
    </x:row>
    <x:row r="53" ht="30" customHeight="1">
      <x:c r="A53" s="18"/>
      <x:c r="B53" s="22"/>
      <x:c r="C53" s="18"/>
      <x:c r="D53" s="18"/>
      <x:c r="E53" s="22"/>
      <x:c r="F53" s="22"/>
      <x:c r="G53" s="22"/>
      <x:c r="H53" s="18"/>
      <x:c r="I53" s="18"/>
      <x:c r="J53" s="18"/>
      <x:c r="K53" s="18"/>
      <x:c r="L53" s="18"/>
      <x:c r="M53" s="18"/>
    </x:row>
    <x:row r="54" ht="30" customHeight="1">
      <x:c r="A54" s="18"/>
      <x:c r="B54" s="22"/>
      <x:c r="C54" s="18"/>
      <x:c r="D54" s="18"/>
      <x:c r="E54" s="22"/>
      <x:c r="F54" s="22"/>
      <x:c r="G54" s="22"/>
      <x:c r="H54" s="18"/>
      <x:c r="I54" s="18"/>
      <x:c r="J54" s="18"/>
      <x:c r="K54" s="18"/>
      <x:c r="L54" s="18"/>
      <x:c r="M54" s="18"/>
    </x:row>
    <x:row r="55" ht="30" customHeight="1">
      <x:c r="A55" s="18"/>
      <x:c r="B55" s="22"/>
      <x:c r="C55" s="18"/>
      <x:c r="D55" s="18"/>
      <x:c r="E55" s="22"/>
      <x:c r="F55" s="22"/>
      <x:c r="G55" s="22"/>
      <x:c r="H55" s="18"/>
      <x:c r="I55" s="18"/>
      <x:c r="J55" s="18"/>
      <x:c r="K55" s="18"/>
      <x:c r="L55" s="18"/>
      <x:c r="M55" s="18"/>
    </x:row>
    <x:row r="56" ht="30" customHeight="1">
      <x:c r="A56" s="18"/>
      <x:c r="B56" s="22"/>
      <x:c r="C56" s="18"/>
      <x:c r="D56" s="18"/>
      <x:c r="E56" s="22"/>
      <x:c r="F56" s="22"/>
      <x:c r="G56" s="22"/>
      <x:c r="H56" s="18"/>
      <x:c r="I56" s="18"/>
      <x:c r="J56" s="18"/>
      <x:c r="K56" s="18"/>
      <x:c r="L56" s="18"/>
      <x:c r="M56" s="18"/>
    </x:row>
    <x:row r="57" ht="30" customHeight="1">
      <x:c r="A57" s="18"/>
      <x:c r="B57" s="22"/>
      <x:c r="C57" s="18"/>
      <x:c r="D57" s="18"/>
      <x:c r="E57" s="22"/>
      <x:c r="F57" s="22"/>
      <x:c r="G57" s="22"/>
      <x:c r="H57" s="18"/>
      <x:c r="I57" s="18"/>
      <x:c r="J57" s="18"/>
      <x:c r="K57" s="18"/>
      <x:c r="L57" s="18"/>
      <x:c r="M57" s="18"/>
    </x:row>
    <x:row r="58" ht="30" customHeight="1">
      <x:c r="A58" s="18"/>
      <x:c r="B58" s="22"/>
      <x:c r="C58" s="18"/>
      <x:c r="D58" s="18"/>
      <x:c r="E58" s="22"/>
      <x:c r="F58" s="22"/>
      <x:c r="G58" s="22"/>
      <x:c r="H58" s="18"/>
      <x:c r="I58" s="18"/>
      <x:c r="J58" s="18"/>
      <x:c r="K58" s="18"/>
      <x:c r="L58" s="18"/>
      <x:c r="M58" s="18"/>
    </x:row>
    <x:row r="59" ht="30" customHeight="1">
      <x:c r="A59" s="18"/>
      <x:c r="B59" s="22"/>
      <x:c r="C59" s="18"/>
      <x:c r="D59" s="18"/>
      <x:c r="E59" s="22"/>
      <x:c r="F59" s="22"/>
      <x:c r="G59" s="22"/>
      <x:c r="H59" s="18"/>
      <x:c r="I59" s="18"/>
      <x:c r="J59" s="18"/>
      <x:c r="K59" s="18"/>
      <x:c r="L59" s="18"/>
      <x:c r="M59" s="18"/>
    </x:row>
    <x:row r="60" ht="30" customHeight="1">
      <x:c r="A60" s="18"/>
      <x:c r="B60" s="22"/>
      <x:c r="C60" s="18"/>
      <x:c r="D60" s="18"/>
      <x:c r="E60" s="22"/>
      <x:c r="F60" s="22"/>
      <x:c r="G60" s="22"/>
      <x:c r="H60" s="18"/>
      <x:c r="I60" s="18"/>
      <x:c r="J60" s="18"/>
      <x:c r="K60" s="18"/>
      <x:c r="L60" s="18"/>
      <x:c r="M60" s="18"/>
    </x:row>
    <x:row r="61" ht="30" customHeight="1">
      <x:c r="A61" s="18"/>
      <x:c r="B61" s="22"/>
      <x:c r="C61" s="18"/>
      <x:c r="D61" s="18"/>
      <x:c r="E61" s="22"/>
      <x:c r="F61" s="22"/>
      <x:c r="G61" s="22"/>
      <x:c r="H61" s="18"/>
      <x:c r="I61" s="18"/>
      <x:c r="J61" s="18"/>
      <x:c r="K61" s="18"/>
      <x:c r="L61" s="18"/>
      <x:c r="M61" s="18"/>
    </x:row>
    <x:row r="62" ht="30" customHeight="1">
      <x:c r="A62" s="18"/>
      <x:c r="B62" s="22"/>
      <x:c r="C62" s="18"/>
      <x:c r="D62" s="18"/>
      <x:c r="E62" s="22"/>
      <x:c r="F62" s="22"/>
      <x:c r="G62" s="22"/>
      <x:c r="H62" s="18"/>
      <x:c r="I62" s="18"/>
      <x:c r="J62" s="18"/>
      <x:c r="K62" s="18"/>
      <x:c r="L62" s="18"/>
      <x:c r="M62" s="18"/>
    </x:row>
    <x:row r="63" ht="30" customHeight="1">
      <x:c r="A63" s="18"/>
      <x:c r="B63" s="22"/>
      <x:c r="C63" s="18"/>
      <x:c r="D63" s="18"/>
      <x:c r="E63" s="22"/>
      <x:c r="F63" s="22"/>
      <x:c r="G63" s="22"/>
      <x:c r="H63" s="18"/>
      <x:c r="I63" s="18"/>
      <x:c r="J63" s="18"/>
      <x:c r="K63" s="18"/>
      <x:c r="L63" s="18"/>
      <x:c r="M63" s="18"/>
    </x:row>
    <x:row r="64" ht="30" customHeight="1">
      <x:c r="A64" s="18"/>
      <x:c r="B64" s="22"/>
      <x:c r="C64" s="18"/>
      <x:c r="D64" s="18"/>
      <x:c r="E64" s="22"/>
      <x:c r="F64" s="22"/>
      <x:c r="G64" s="22"/>
      <x:c r="H64" s="18"/>
      <x:c r="I64" s="18"/>
      <x:c r="J64" s="18"/>
      <x:c r="K64" s="18"/>
      <x:c r="L64" s="18"/>
      <x:c r="M64" s="18"/>
    </x:row>
    <x:row r="65" ht="30" customHeight="1">
      <x:c r="A65" s="18"/>
      <x:c r="B65" s="22"/>
      <x:c r="C65" s="18"/>
      <x:c r="D65" s="18"/>
      <x:c r="E65" s="22"/>
      <x:c r="F65" s="22"/>
      <x:c r="G65" s="22"/>
      <x:c r="H65" s="18"/>
      <x:c r="I65" s="18"/>
      <x:c r="J65" s="18"/>
      <x:c r="K65" s="18"/>
      <x:c r="L65" s="18"/>
      <x:c r="M65" s="18"/>
    </x:row>
    <x:row r="66" ht="30" customHeight="1">
      <x:c r="A66" s="18"/>
      <x:c r="B66" s="22"/>
      <x:c r="C66" s="18"/>
      <x:c r="D66" s="18"/>
      <x:c r="E66" s="22"/>
      <x:c r="F66" s="22"/>
      <x:c r="G66" s="22"/>
      <x:c r="H66" s="18"/>
      <x:c r="I66" s="18"/>
      <x:c r="J66" s="18"/>
      <x:c r="K66" s="18"/>
      <x:c r="L66" s="18"/>
      <x:c r="M66" s="18"/>
    </x:row>
    <x:row r="67" ht="30" customHeight="1">
      <x:c r="A67" s="18"/>
      <x:c r="B67" s="22"/>
      <x:c r="C67" s="18"/>
      <x:c r="D67" s="18"/>
      <x:c r="E67" s="22"/>
      <x:c r="F67" s="22"/>
      <x:c r="G67" s="22"/>
      <x:c r="H67" s="18"/>
      <x:c r="I67" s="18"/>
      <x:c r="J67" s="18"/>
      <x:c r="K67" s="18"/>
      <x:c r="L67" s="18"/>
      <x:c r="M67" s="18"/>
    </x:row>
    <x:row r="68" ht="30" customHeight="1">
      <x:c r="A68" s="18"/>
      <x:c r="B68" s="22"/>
      <x:c r="C68" s="18"/>
      <x:c r="D68" s="18"/>
      <x:c r="E68" s="22"/>
      <x:c r="F68" s="22"/>
      <x:c r="G68" s="22"/>
      <x:c r="H68" s="18"/>
      <x:c r="I68" s="18"/>
      <x:c r="J68" s="18"/>
      <x:c r="K68" s="18"/>
      <x:c r="L68" s="18"/>
      <x:c r="M68" s="18"/>
    </x:row>
    <x:row r="69" ht="30" customHeight="1">
      <x:c r="A69" s="18"/>
      <x:c r="B69" s="22"/>
      <x:c r="C69" s="18"/>
      <x:c r="D69" s="18"/>
      <x:c r="E69" s="22"/>
      <x:c r="F69" s="22"/>
      <x:c r="G69" s="22"/>
      <x:c r="H69" s="18"/>
      <x:c r="I69" s="18"/>
      <x:c r="J69" s="18"/>
      <x:c r="K69" s="18"/>
      <x:c r="L69" s="18"/>
      <x:c r="M69" s="18"/>
    </x:row>
    <x:row r="70" ht="30" customHeight="1">
      <x:c r="A70" s="18"/>
      <x:c r="B70" s="22"/>
      <x:c r="C70" s="18"/>
      <x:c r="D70" s="18"/>
      <x:c r="E70" s="22"/>
      <x:c r="F70" s="22"/>
      <x:c r="G70" s="22"/>
      <x:c r="H70" s="18"/>
      <x:c r="I70" s="18"/>
      <x:c r="J70" s="18"/>
      <x:c r="K70" s="18"/>
      <x:c r="L70" s="18"/>
      <x:c r="M70" s="18"/>
    </x:row>
    <x:row r="71" ht="30" customHeight="1">
      <x:c r="A71" s="18"/>
      <x:c r="B71" s="22"/>
      <x:c r="C71" s="18"/>
      <x:c r="D71" s="18"/>
      <x:c r="E71" s="22"/>
      <x:c r="F71" s="22"/>
      <x:c r="G71" s="22"/>
      <x:c r="H71" s="18"/>
      <x:c r="I71" s="18"/>
      <x:c r="J71" s="18"/>
      <x:c r="K71" s="18"/>
      <x:c r="L71" s="18"/>
      <x:c r="M71" s="18"/>
    </x:row>
    <x:row r="72" ht="30" customHeight="1">
      <x:c r="A72" s="18"/>
      <x:c r="B72" s="22"/>
      <x:c r="C72" s="18"/>
      <x:c r="D72" s="18"/>
      <x:c r="E72" s="22"/>
      <x:c r="F72" s="22"/>
      <x:c r="G72" s="22"/>
      <x:c r="H72" s="18"/>
      <x:c r="I72" s="18"/>
      <x:c r="J72" s="18"/>
      <x:c r="K72" s="18"/>
      <x:c r="L72" s="18"/>
      <x:c r="M72" s="18"/>
    </x:row>
    <x:row r="73" ht="30" customHeight="1">
      <x:c r="A73" s="18"/>
      <x:c r="B73" s="22"/>
      <x:c r="C73" s="18"/>
      <x:c r="D73" s="18"/>
      <x:c r="E73" s="22"/>
      <x:c r="F73" s="22"/>
      <x:c r="G73" s="22"/>
      <x:c r="H73" s="18"/>
      <x:c r="I73" s="18"/>
      <x:c r="J73" s="18"/>
      <x:c r="K73" s="18"/>
      <x:c r="L73" s="18"/>
      <x:c r="M73" s="18"/>
    </x:row>
    <x:row r="74" ht="30" customHeight="1">
      <x:c r="A74" s="18"/>
      <x:c r="B74" s="22"/>
      <x:c r="C74" s="18"/>
      <x:c r="D74" s="18"/>
      <x:c r="E74" s="22"/>
      <x:c r="F74" s="22"/>
      <x:c r="G74" s="22"/>
      <x:c r="H74" s="18"/>
      <x:c r="I74" s="18"/>
      <x:c r="J74" s="18"/>
      <x:c r="K74" s="18"/>
      <x:c r="L74" s="18"/>
      <x:c r="M74" s="18"/>
    </x:row>
    <x:row r="75" ht="30" customHeight="1">
      <x:c r="A75" s="18"/>
      <x:c r="B75" s="22"/>
      <x:c r="C75" s="18"/>
      <x:c r="D75" s="18"/>
      <x:c r="E75" s="22"/>
      <x:c r="F75" s="22"/>
      <x:c r="G75" s="22"/>
      <x:c r="H75" s="18"/>
      <x:c r="I75" s="18"/>
      <x:c r="J75" s="18"/>
      <x:c r="K75" s="18"/>
      <x:c r="L75" s="18"/>
      <x:c r="M75" s="18"/>
    </x:row>
    <x:row r="76" ht="30" customHeight="1">
      <x:c r="A76" s="18"/>
      <x:c r="B76" s="22"/>
      <x:c r="C76" s="18"/>
      <x:c r="D76" s="18"/>
      <x:c r="E76" s="22"/>
      <x:c r="F76" s="22"/>
      <x:c r="G76" s="22"/>
      <x:c r="H76" s="18"/>
      <x:c r="I76" s="18"/>
      <x:c r="J76" s="18"/>
      <x:c r="K76" s="18"/>
      <x:c r="L76" s="18"/>
      <x:c r="M76" s="18"/>
    </x:row>
    <x:row r="77" ht="30" customHeight="1">
      <x:c r="A77" s="18"/>
      <x:c r="B77" s="22"/>
      <x:c r="C77" s="18"/>
      <x:c r="D77" s="18"/>
      <x:c r="E77" s="22"/>
      <x:c r="F77" s="22"/>
      <x:c r="G77" s="22"/>
      <x:c r="H77" s="18"/>
      <x:c r="I77" s="18"/>
      <x:c r="J77" s="18"/>
      <x:c r="K77" s="18"/>
      <x:c r="L77" s="18"/>
      <x:c r="M77" s="18"/>
    </x:row>
    <x:row r="78" ht="30" customHeight="1">
      <x:c r="A78" s="18"/>
      <x:c r="B78" s="22"/>
      <x:c r="C78" s="18"/>
      <x:c r="D78" s="18"/>
      <x:c r="E78" s="22"/>
      <x:c r="F78" s="22"/>
      <x:c r="G78" s="22"/>
      <x:c r="H78" s="18"/>
      <x:c r="I78" s="18"/>
      <x:c r="J78" s="18"/>
      <x:c r="K78" s="18"/>
      <x:c r="L78" s="18"/>
      <x:c r="M78" s="18"/>
    </x:row>
    <x:row r="79" ht="30" customHeight="1">
      <x:c r="A79" s="18"/>
      <x:c r="B79" s="22"/>
      <x:c r="C79" s="18"/>
      <x:c r="D79" s="18"/>
      <x:c r="E79" s="22"/>
      <x:c r="F79" s="22"/>
      <x:c r="G79" s="22"/>
      <x:c r="H79" s="18"/>
      <x:c r="I79" s="18"/>
      <x:c r="J79" s="18"/>
      <x:c r="K79" s="18"/>
      <x:c r="L79" s="18"/>
      <x:c r="M79" s="18"/>
    </x:row>
    <x:row r="80" ht="30" customHeight="1">
      <x:c r="A80" s="18"/>
      <x:c r="B80" s="22"/>
      <x:c r="C80" s="18"/>
      <x:c r="D80" s="18"/>
      <x:c r="E80" s="22"/>
      <x:c r="F80" s="22"/>
      <x:c r="G80" s="22"/>
      <x:c r="H80" s="18"/>
      <x:c r="I80" s="18"/>
      <x:c r="J80" s="18"/>
      <x:c r="K80" s="18"/>
      <x:c r="L80" s="18"/>
      <x:c r="M80" s="18"/>
    </x:row>
    <x:row r="81" ht="30" customHeight="1">
      <x:c r="A81" s="18"/>
      <x:c r="B81" s="22"/>
      <x:c r="C81" s="18"/>
      <x:c r="D81" s="18"/>
      <x:c r="E81" s="22"/>
      <x:c r="F81" s="22"/>
      <x:c r="G81" s="22"/>
      <x:c r="H81" s="18"/>
      <x:c r="I81" s="18"/>
      <x:c r="J81" s="18"/>
      <x:c r="K81" s="18"/>
      <x:c r="L81" s="18"/>
      <x:c r="M81" s="18"/>
    </x:row>
    <x:row r="82" ht="30" customHeight="1">
      <x:c r="A82" s="18"/>
      <x:c r="B82" s="22"/>
      <x:c r="C82" s="18"/>
      <x:c r="D82" s="18"/>
      <x:c r="E82" s="22"/>
      <x:c r="F82" s="22"/>
      <x:c r="G82" s="22"/>
      <x:c r="H82" s="18"/>
      <x:c r="I82" s="18"/>
      <x:c r="J82" s="18"/>
      <x:c r="K82" s="18"/>
      <x:c r="L82" s="18"/>
      <x:c r="M82" s="18"/>
    </x:row>
    <x:row r="83" ht="30" customHeight="1">
      <x:c r="A83" s="18"/>
      <x:c r="B83" s="22"/>
      <x:c r="C83" s="18"/>
      <x:c r="D83" s="18"/>
      <x:c r="E83" s="22"/>
      <x:c r="F83" s="22"/>
      <x:c r="G83" s="22"/>
      <x:c r="H83" s="18"/>
      <x:c r="I83" s="18"/>
      <x:c r="J83" s="18"/>
      <x:c r="K83" s="18"/>
      <x:c r="L83" s="18"/>
      <x:c r="M83" s="18"/>
    </x:row>
    <x:row r="84" ht="30" customHeight="1">
      <x:c r="A84" s="18"/>
      <x:c r="B84" s="22"/>
      <x:c r="C84" s="18"/>
      <x:c r="D84" s="18"/>
      <x:c r="E84" s="22"/>
      <x:c r="F84" s="22"/>
      <x:c r="G84" s="22"/>
      <x:c r="H84" s="18"/>
      <x:c r="I84" s="18"/>
      <x:c r="J84" s="18"/>
      <x:c r="K84" s="18"/>
      <x:c r="L84" s="18"/>
      <x:c r="M84" s="18"/>
    </x:row>
    <x:row r="85" ht="30" customHeight="1">
      <x:c r="A85" s="18"/>
      <x:c r="B85" s="22"/>
      <x:c r="C85" s="18"/>
      <x:c r="D85" s="18"/>
      <x:c r="E85" s="22"/>
      <x:c r="F85" s="22"/>
      <x:c r="G85" s="22"/>
      <x:c r="H85" s="18"/>
      <x:c r="I85" s="18"/>
      <x:c r="J85" s="18"/>
      <x:c r="K85" s="18"/>
      <x:c r="L85" s="18"/>
      <x:c r="M85" s="18"/>
    </x:row>
    <x:row r="86" ht="30" customHeight="1">
      <x:c r="A86" s="18"/>
      <x:c r="B86" s="22"/>
      <x:c r="C86" s="18"/>
      <x:c r="D86" s="18"/>
      <x:c r="E86" s="22"/>
      <x:c r="F86" s="22"/>
      <x:c r="G86" s="22"/>
      <x:c r="H86" s="18"/>
      <x:c r="I86" s="18"/>
      <x:c r="J86" s="18"/>
      <x:c r="K86" s="18"/>
      <x:c r="L86" s="18"/>
      <x:c r="M86" s="18"/>
    </x:row>
    <x:row r="87" ht="30" customHeight="1">
      <x:c r="A87" s="18"/>
      <x:c r="B87" s="22"/>
      <x:c r="C87" s="18"/>
      <x:c r="D87" s="18"/>
      <x:c r="E87" s="22"/>
      <x:c r="F87" s="22"/>
      <x:c r="G87" s="22"/>
      <x:c r="H87" s="18"/>
      <x:c r="I87" s="18"/>
      <x:c r="J87" s="18"/>
      <x:c r="K87" s="18"/>
      <x:c r="L87" s="18"/>
      <x:c r="M87" s="18"/>
    </x:row>
    <x:row r="88" ht="30" customHeight="1">
      <x:c r="A88" s="18"/>
      <x:c r="B88" s="22"/>
      <x:c r="C88" s="18"/>
      <x:c r="D88" s="18"/>
      <x:c r="E88" s="22"/>
      <x:c r="F88" s="22"/>
      <x:c r="G88" s="22"/>
      <x:c r="H88" s="18"/>
      <x:c r="I88" s="18"/>
      <x:c r="J88" s="18"/>
      <x:c r="K88" s="18"/>
      <x:c r="L88" s="18"/>
      <x:c r="M88" s="18"/>
    </x:row>
    <x:row r="89" ht="30" customHeight="1">
      <x:c r="A89" s="18"/>
      <x:c r="B89" s="22"/>
      <x:c r="C89" s="18"/>
      <x:c r="D89" s="18"/>
      <x:c r="E89" s="22"/>
      <x:c r="F89" s="22"/>
      <x:c r="G89" s="22"/>
      <x:c r="H89" s="18"/>
      <x:c r="I89" s="18"/>
      <x:c r="J89" s="18"/>
      <x:c r="K89" s="18"/>
      <x:c r="L89" s="18"/>
      <x:c r="M89" s="18"/>
    </x:row>
    <x:row r="90" ht="30" customHeight="1">
      <x:c r="A90" s="18"/>
      <x:c r="B90" s="22"/>
      <x:c r="C90" s="18"/>
      <x:c r="D90" s="18"/>
      <x:c r="E90" s="22"/>
      <x:c r="F90" s="22"/>
      <x:c r="G90" s="22"/>
      <x:c r="H90" s="18"/>
      <x:c r="I90" s="18"/>
      <x:c r="J90" s="18"/>
      <x:c r="K90" s="18"/>
      <x:c r="L90" s="18"/>
      <x:c r="M90" s="18"/>
    </x:row>
    <x:row r="91" ht="30" customHeight="1">
      <x:c r="A91" s="18"/>
      <x:c r="B91" s="22"/>
      <x:c r="C91" s="18"/>
      <x:c r="D91" s="18"/>
      <x:c r="E91" s="22"/>
      <x:c r="F91" s="22"/>
      <x:c r="G91" s="22"/>
      <x:c r="H91" s="18"/>
      <x:c r="I91" s="18"/>
      <x:c r="J91" s="18"/>
      <x:c r="K91" s="18"/>
      <x:c r="L91" s="18"/>
      <x:c r="M91" s="18"/>
    </x:row>
    <x:row r="92" ht="30" customHeight="1">
      <x:c r="A92" s="18"/>
      <x:c r="B92" s="22"/>
      <x:c r="C92" s="18"/>
      <x:c r="D92" s="18"/>
      <x:c r="E92" s="22"/>
      <x:c r="F92" s="22"/>
      <x:c r="G92" s="22"/>
      <x:c r="H92" s="18"/>
      <x:c r="I92" s="18"/>
      <x:c r="J92" s="18"/>
      <x:c r="K92" s="18"/>
      <x:c r="L92" s="18"/>
      <x:c r="M92" s="18"/>
    </x:row>
    <x:row r="93" ht="30" customHeight="1">
      <x:c r="A93" s="18"/>
      <x:c r="B93" s="22"/>
      <x:c r="C93" s="18"/>
      <x:c r="D93" s="18"/>
      <x:c r="E93" s="22"/>
      <x:c r="F93" s="22"/>
      <x:c r="G93" s="22"/>
      <x:c r="H93" s="18"/>
      <x:c r="I93" s="18"/>
      <x:c r="J93" s="18"/>
      <x:c r="K93" s="18"/>
      <x:c r="L93" s="18"/>
      <x:c r="M93" s="18"/>
    </x:row>
    <x:row r="94" ht="30" customHeight="1">
      <x:c r="A94" s="18"/>
      <x:c r="B94" s="22"/>
      <x:c r="C94" s="18"/>
      <x:c r="D94" s="18"/>
      <x:c r="E94" s="22"/>
      <x:c r="F94" s="22"/>
      <x:c r="G94" s="22"/>
      <x:c r="H94" s="18"/>
      <x:c r="I94" s="18"/>
      <x:c r="J94" s="18"/>
      <x:c r="K94" s="18"/>
      <x:c r="L94" s="18"/>
      <x:c r="M94" s="18"/>
    </x:row>
    <x:row r="95" ht="30" customHeight="1">
      <x:c r="A95" s="18"/>
      <x:c r="B95" s="22"/>
      <x:c r="C95" s="18"/>
      <x:c r="D95" s="18"/>
      <x:c r="E95" s="22"/>
      <x:c r="F95" s="22"/>
      <x:c r="G95" s="22"/>
      <x:c r="H95" s="18"/>
      <x:c r="I95" s="18"/>
      <x:c r="J95" s="18"/>
      <x:c r="K95" s="18"/>
      <x:c r="L95" s="18"/>
      <x:c r="M95" s="18"/>
    </x:row>
    <x:row r="96" ht="30" customHeight="1">
      <x:c r="A96" s="18"/>
      <x:c r="B96" s="22"/>
      <x:c r="C96" s="18"/>
      <x:c r="D96" s="18"/>
      <x:c r="E96" s="22"/>
      <x:c r="F96" s="22"/>
      <x:c r="G96" s="22"/>
      <x:c r="H96" s="18"/>
      <x:c r="I96" s="18"/>
      <x:c r="J96" s="18"/>
      <x:c r="K96" s="18"/>
      <x:c r="L96" s="18"/>
      <x:c r="M96" s="18"/>
    </x:row>
    <x:row r="97" ht="30" customHeight="1">
      <x:c r="A97" s="18"/>
      <x:c r="B97" s="22"/>
      <x:c r="C97" s="18"/>
      <x:c r="D97" s="18"/>
      <x:c r="E97" s="22"/>
      <x:c r="F97" s="22"/>
      <x:c r="G97" s="22"/>
      <x:c r="H97" s="18"/>
      <x:c r="I97" s="18"/>
      <x:c r="J97" s="18"/>
      <x:c r="K97" s="18"/>
      <x:c r="L97" s="18"/>
      <x:c r="M97" s="18"/>
    </x:row>
    <x:row r="98" ht="30" customHeight="1">
      <x:c r="A98" s="18"/>
      <x:c r="B98" s="22"/>
      <x:c r="C98" s="18"/>
      <x:c r="D98" s="18"/>
      <x:c r="E98" s="22"/>
      <x:c r="F98" s="22"/>
      <x:c r="G98" s="22"/>
      <x:c r="H98" s="18"/>
      <x:c r="I98" s="18"/>
      <x:c r="J98" s="18"/>
      <x:c r="K98" s="18"/>
      <x:c r="L98" s="18"/>
      <x:c r="M98" s="18"/>
    </x:row>
    <x:row r="99" ht="30" customHeight="1">
      <x:c r="A99" s="18"/>
      <x:c r="B99" s="22"/>
      <x:c r="C99" s="18"/>
      <x:c r="D99" s="18"/>
      <x:c r="E99" s="22"/>
      <x:c r="F99" s="22"/>
      <x:c r="G99" s="22"/>
      <x:c r="H99" s="18"/>
      <x:c r="I99" s="18"/>
      <x:c r="J99" s="18"/>
      <x:c r="K99" s="18"/>
      <x:c r="L99" s="18"/>
      <x:c r="M99" s="18"/>
    </x:row>
    <x:row r="100" ht="30" customHeight="1">
      <x:c r="A100" s="18"/>
      <x:c r="B100" s="22"/>
      <x:c r="C100" s="18"/>
      <x:c r="D100" s="18"/>
      <x:c r="E100" s="22"/>
      <x:c r="F100" s="22"/>
      <x:c r="G100" s="22"/>
      <x:c r="H100" s="18"/>
      <x:c r="I100" s="18"/>
      <x:c r="J100" s="18"/>
      <x:c r="K100" s="18"/>
      <x:c r="L100" s="18"/>
      <x:c r="M100" s="18"/>
    </x:row>
    <x:row r="101" ht="30" customHeight="1">
      <x:c r="A101" s="18"/>
      <x:c r="B101" s="22"/>
      <x:c r="C101" s="18"/>
      <x:c r="D101" s="18"/>
      <x:c r="E101" s="22"/>
      <x:c r="F101" s="22"/>
      <x:c r="G101" s="22"/>
      <x:c r="H101" s="18"/>
      <x:c r="I101" s="18"/>
      <x:c r="J101" s="18"/>
      <x:c r="K101" s="18"/>
      <x:c r="L101" s="18"/>
      <x:c r="M101" s="18"/>
    </x:row>
    <x:row r="102" ht="30" customHeight="1">
      <x:c r="A102" s="18"/>
      <x:c r="B102" s="22"/>
      <x:c r="C102" s="18"/>
      <x:c r="D102" s="18"/>
      <x:c r="E102" s="22"/>
      <x:c r="F102" s="22"/>
      <x:c r="G102" s="22"/>
      <x:c r="H102" s="18"/>
      <x:c r="I102" s="18"/>
      <x:c r="J102" s="18"/>
      <x:c r="K102" s="18"/>
      <x:c r="L102" s="18"/>
      <x:c r="M102" s="18"/>
    </x:row>
    <x:row r="103" ht="30" customHeight="1">
      <x:c r="A103" s="18"/>
      <x:c r="B103" s="22"/>
      <x:c r="C103" s="18"/>
      <x:c r="D103" s="18"/>
      <x:c r="E103" s="22"/>
      <x:c r="F103" s="22"/>
      <x:c r="G103" s="22"/>
      <x:c r="H103" s="18"/>
      <x:c r="I103" s="18"/>
      <x:c r="J103" s="18"/>
      <x:c r="K103" s="18"/>
      <x:c r="L103" s="18"/>
      <x:c r="M103" s="18"/>
    </x:row>
    <x:row r="104" ht="30" customHeight="1">
      <x:c r="A104" s="18"/>
      <x:c r="B104" s="22"/>
      <x:c r="C104" s="18"/>
      <x:c r="D104" s="18"/>
      <x:c r="E104" s="22"/>
      <x:c r="F104" s="22"/>
      <x:c r="G104" s="22"/>
      <x:c r="H104" s="18"/>
      <x:c r="I104" s="18"/>
      <x:c r="J104" s="18"/>
      <x:c r="K104" s="18"/>
      <x:c r="L104" s="18"/>
      <x:c r="M104" s="18"/>
    </x:row>
    <x:row r="105" ht="30" customHeight="1">
      <x:c r="A105" s="18"/>
      <x:c r="B105" s="22"/>
      <x:c r="C105" s="18"/>
      <x:c r="D105" s="18"/>
      <x:c r="E105" s="22"/>
      <x:c r="F105" s="22"/>
      <x:c r="G105" s="22"/>
      <x:c r="H105" s="18"/>
      <x:c r="I105" s="18"/>
      <x:c r="J105" s="18"/>
      <x:c r="K105" s="18"/>
      <x:c r="L105" s="18"/>
      <x:c r="M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c32faa0e71e94924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18" hidden="0" customWidth="1"/>
    <x:col min="5" max="5" width="38" hidden="0" customWidth="1"/>
  </x:cols>
  <x:sheetData>
    <x:row r="1" ht="34" customHeight="1">
      <x:c r="A1" s="3" t="str">
        <x:v>SOURCES</x:v>
      </x:c>
      <x:c r="B1" s="3"/>
      <x:c r="C1" s="3"/>
      <x:c r="D1" s="3"/>
      <x:c r="E1" s="3"/>
    </x:row>
    <x:row r="2" ht="23" customHeight="1">
      <x:c r="A2" s="7" t="str">
        <x:v>Source URLs are retained for traceability. Repository observations and historical reports are not live measurements.</x:v>
      </x:c>
      <x:c r="B2" s="7"/>
      <x:c r="C2" s="7"/>
      <x:c r="D2" s="7"/>
      <x:c r="E2" s="7"/>
    </x:row>
    <x:row r="3" ht="23" customHeight="1">
      <x:c r="A3" s="7"/>
      <x:c r="B3" s="7"/>
      <x:c r="C3" s="7"/>
      <x:c r="D3" s="7"/>
      <x:c r="E3" s="7"/>
    </x:row>
    <x:row r="5" ht="32" customHeight="1">
      <x:c r="A5" s="12" t="str">
        <x:v>source_id</x:v>
      </x:c>
      <x:c r="B5" s="12" t="str">
        <x:v>description</x:v>
      </x:c>
      <x:c r="C5" s="12" t="str">
        <x:v>url</x:v>
      </x:c>
      <x:c r="D5" s="12" t="str">
        <x:v>observation_or_retrieval</x:v>
      </x:c>
      <x:c r="E5" s="12" t="str">
        <x:v>limitations</x:v>
      </x:c>
    </x:row>
    <x:row r="6" ht="58" customHeight="1">
      <x:c r="A6" s="18" t="str">
        <x:v>R01</x:v>
      </x:c>
      <x:c r="B6" s="18" t="str">
        <x:v>Repository guidance</x:v>
      </x:c>
      <x:c r="C6" s="18" t="str">
        <x:v>https://github.com/myglobalhealthonline/global-health-website/blob/main/CLAUDE.md</x:v>
      </x:c>
      <x:c r="D6" s="18" t="str">
        <x:v>Retrieved 2026-09-15</x:v>
      </x:c>
      <x:c r="E6" s="18" t="str">
        <x:v>Includes historical tool handles and GA4 restoration note; not a live API check.</x:v>
      </x:c>
    </x:row>
    <x:row r="7" ht="58" customHeight="1">
      <x:c r="A7" s="18" t="str">
        <x:v>R02</x:v>
      </x:c>
      <x:c r="B7" s="18" t="str">
        <x:v>SEO workspace and ownership</x:v>
      </x:c>
      <x:c r="C7" s="18" t="str">
        <x:v>https://github.com/myglobalhealthonline/global-health-website/blob/main/seo/README.md</x:v>
      </x:c>
      <x:c r="D7" s="18" t="str">
        <x:v>Retrieved 2026-09-15</x:v>
      </x:c>
      <x:c r="E7" s="18" t="str">
        <x:v>Market routes, evidence locations and single-ledger contract.</x:v>
      </x:c>
    </x:row>
    <x:row r="8" ht="58" customHeight="1">
      <x:c r="A8" s="18" t="str">
        <x:v>R03</x:v>
      </x:c>
      <x:c r="B8" s="18" t="str">
        <x:v>Country configuration</x:v>
      </x:c>
      <x:c r="C8" s="18" t="str">
        <x:v>https://github.com/myglobalhealthonline/global-health-website/blob/main/frontend/data/countries.ts</x:v>
      </x:c>
      <x:c r="D8" s="18" t="str">
        <x:v>Retrieved 2026-09-15</x:v>
      </x:c>
      <x:c r="E8" s="18" t="str">
        <x:v>33 configured combinations; DB/publication eligibility must be checked separately.</x:v>
      </x:c>
    </x:row>
    <x:row r="9" ht="58" customHeight="1">
      <x:c r="A9" s="18" t="str">
        <x:v>R04</x:v>
      </x:c>
      <x:c r="B9" s="18" t="str">
        <x:v>Hreflang implementation</x:v>
      </x:c>
      <x:c r="C9" s="18" t="str">
        <x:v>https://github.com/myglobalhealthonline/global-health-website/blob/main/frontend/lib/seo/hreflang.ts</x:v>
      </x:c>
      <x:c r="D9" s="18" t="str">
        <x:v>Retrieved 2026-09-15</x:v>
      </x:c>
      <x:c r="E9" s="18" t="str">
        <x:v>Configured and indexability-gated alternate builders.</x:v>
      </x:c>
    </x:row>
    <x:row r="10" ht="58" customHeight="1">
      <x:c r="A10" s="18" t="str">
        <x:v>R05</x:v>
      </x:c>
      <x:c r="B10" s="18" t="str">
        <x:v>Google access review</x:v>
      </x:c>
      <x:c r="C10" s="18" t="str">
        <x:v>https://github.com/myglobalhealthonline/global-health-website/blob/main/docs/audits/seo/google-access-review-2026-09-09.md</x:v>
      </x:c>
      <x:c r="D10" s="18" t="str">
        <x:v>Observed 2026-09-09</x:v>
      </x:c>
      <x:c r="E10" s="18" t="str">
        <x:v>Historical browser observations, not freshly pulled analytics.</x:v>
      </x:c>
    </x:row>
    <x:row r="11" ht="58" customHeight="1">
      <x:c r="A11" s="18" t="str">
        <x:v>R06</x:v>
      </x:c>
      <x:c r="B11" s="18" t="str">
        <x:v>SEO handover</x:v>
      </x:c>
      <x:c r="C11" s="18" t="str">
        <x:v>https://github.com/myglobalhealthonline/global-health-website/blob/main/docs/plans/seo-handover-codex.md</x:v>
      </x:c>
      <x:c r="D11" s="18" t="str">
        <x:v>Retrieved 2026-09-15</x:v>
      </x:c>
      <x:c r="E11" s="18" t="str">
        <x:v>Historical GA4 gap, tooling notes and existing SEO tests.</x:v>
      </x:c>
    </x:row>
    <x:row r="12" ht="58" customHeight="1">
      <x:c r="A12" s="18" t="str">
        <x:v>R07</x:v>
      </x:c>
      <x:c r="B12" s="18" t="str">
        <x:v>Canonical SEO control ledger</x:v>
      </x:c>
      <x:c r="C12" s="18" t="str">
        <x:v>https://github.com/myglobalhealthonline/global-health-website/blob/main/docs/plans/seo-control-state.md</x:v>
      </x:c>
      <x:c r="D12" s="18" t="str">
        <x:v>Header updated 2026-09-09</x:v>
      </x:c>
      <x:c r="E12" s="18" t="str">
        <x:v>Only source of operational status; workbook actions are proposed until reconciled.</x:v>
      </x:c>
    </x:row>
    <x:row r="13" ht="58" customHeight="1">
      <x:c r="A13" s="18" t="str">
        <x:v>W01</x:v>
      </x:c>
      <x:c r="B13" s="18" t="str">
        <x:v>Ireland English page</x:v>
      </x:c>
      <x:c r="C13" s="18" t="str">
        <x:v>https://www.myglobalhealth.online/ireland/en</x:v>
      </x:c>
      <x:c r="D13" s="18" t="str">
        <x:v>Text fetched 2026-09-15</x:v>
      </x:c>
      <x:c r="E13" s="18" t="str">
        <x:v>Limited text check; no full HTTP/header, rendered-DOM, sitemap or booking validation.</x:v>
      </x:c>
    </x:row>
    <x:row r="14" ht="58" customHeight="1">
      <x:c r="A14" s="18" t="str">
        <x:v>G01</x:v>
      </x:c>
      <x:c r="B14" s="18" t="str">
        <x:v>Helpful people-first content</x:v>
      </x:c>
      <x:c r="C14" s="18" t="str">
        <x:v>https://developers.google.com/search/docs/fundamentals/creating-helpful-content</x:v>
      </x:c>
      <x:c r="D14" s="18" t="str">
        <x:v>Checked 2026-09-15</x:v>
      </x:c>
      <x:c r="E14" s="18" t="str">
        <x:v>Editorial quality and trust.</x:v>
      </x:c>
    </x:row>
    <x:row r="15" ht="58" customHeight="1">
      <x:c r="A15" s="18" t="str">
        <x:v>G02</x:v>
      </x:c>
      <x:c r="B15" s="18" t="str">
        <x:v>AI content guidance</x:v>
      </x:c>
      <x:c r="C15" s="18" t="str">
        <x:v>https://developers.google.com/search/docs/fundamentals/using-gen-ai-content</x:v>
      </x:c>
      <x:c r="D15" s="18" t="str">
        <x:v>Checked 2026-09-15</x:v>
      </x:c>
      <x:c r="E15" s="18" t="str">
        <x:v>AI use is not itself a reason for a penalty; scaled low-value output is a risk.</x:v>
      </x:c>
    </x:row>
    <x:row r="16" ht="58" customHeight="1">
      <x:c r="A16" s="18" t="str">
        <x:v>G03</x:v>
      </x:c>
      <x:c r="B16" s="18" t="str">
        <x:v>Localized page versions</x:v>
      </x:c>
      <x:c r="C16" s="18" t="str">
        <x:v>https://developers.google.com/search/docs/specialty/international/localized-versions</x:v>
      </x:c>
      <x:c r="D16" s="18" t="str">
        <x:v>Checked 2026-09-15</x:v>
      </x:c>
      <x:c r="E16" s="18" t="str">
        <x:v>Hreflang eligibility, equivalence and reciprocity.</x:v>
      </x:c>
    </x:row>
    <x:row r="17" ht="58" customHeight="1">
      <x:c r="A17" s="18" t="str">
        <x:v>G04</x:v>
      </x:c>
      <x:c r="B17" s="18" t="str">
        <x:v>International sites</x:v>
      </x:c>
      <x:c r="C17" s="18" t="str">
        <x:v>https://developers.google.com/search/docs/specialty/international/managing-multi-regional-sites</x:v>
      </x:c>
      <x:c r="D17" s="18" t="str">
        <x:v>Checked 2026-09-15</x:v>
      </x:c>
      <x:c r="E17" s="18" t="str">
        <x:v>Separate URLs and language access.</x:v>
      </x:c>
    </x:row>
    <x:row r="18" ht="58" customHeight="1">
      <x:c r="A18" s="18" t="str">
        <x:v>G05</x:v>
      </x:c>
      <x:c r="B18" s="18" t="str">
        <x:v>GSC query API</x:v>
      </x:c>
      <x:c r="C18" s="18" t="str">
        <x:v>https://developers.google.com/webmaster-tools/v1/searchanalytics/query</x:v>
      </x:c>
      <x:c r="D18" s="18" t="str">
        <x:v>Checked 2026-09-15</x:v>
      </x:c>
      <x:c r="E18" s="18" t="str">
        <x:v>Query grain, dimensions and missing-data semantics.</x:v>
      </x:c>
    </x:row>
    <x:row r="19" ht="58" customHeight="1">
      <x:c r="A19" s="18" t="str">
        <x:v>G06</x:v>
      </x:c>
      <x:c r="B19" s="18" t="str">
        <x:v>GSC data limits</x:v>
      </x:c>
      <x:c r="C19" s="18" t="str">
        <x:v>https://developers.google.com/webmaster-tools/v1/how-tos/all-your-data</x:v>
      </x:c>
      <x:c r="D19" s="18" t="str">
        <x:v>Checked 2026-09-15</x:v>
      </x:c>
      <x:c r="E19" s="18" t="str">
        <x:v>Not an exhaustive query dataset; preserve extraction limits.</x:v>
      </x:c>
    </x:row>
    <x:row r="20" ht="58" customHeight="1">
      <x:c r="A20" s="18" t="str">
        <x:v>G07</x:v>
      </x:c>
      <x:c r="B20" s="18" t="str">
        <x:v>Site migration guidance</x:v>
      </x:c>
      <x:c r="C20" s="18" t="str">
        <x:v>https://developers.google.com/search/docs/crawling-indexing/site-move-with-url-changes</x:v>
      </x:c>
      <x:c r="D20" s="18" t="str">
        <x:v>Checked 2026-09-15</x:v>
      </x:c>
      <x:c r="E20" s="18" t="str">
        <x:v>URL-level mapping and migration verification.</x:v>
      </x:c>
    </x:row>
    <x:row r="21" ht="58" customHeight="1">
      <x:c r="A21" s="18" t="str">
        <x:v>G08</x:v>
      </x:c>
      <x:c r="B21" s="18" t="str">
        <x:v>Spam policies</x:v>
      </x:c>
      <x:c r="C21" s="18" t="str">
        <x:v>https://developers.google.com/search/docs/essentials/spam-policies</x:v>
      </x:c>
      <x:c r="D21" s="18" t="str">
        <x:v>Checked 2026-09-15</x:v>
      </x:c>
      <x:c r="E21" s="18" t="str">
        <x:v>Doorways, scaled content and link-spam safeguards.</x:v>
      </x:c>
    </x:row>
    <x:row r="22" ht="58" customHeight="1">
      <x:c r="A22" s="18" t="str">
        <x:v>G09</x:v>
      </x:c>
      <x:c r="B22" s="18" t="str">
        <x:v>GA4 API schema</x:v>
      </x:c>
      <x:c r="C22" s="18" t="str">
        <x:v>https://developers.google.com/analytics/devguides/reporting/data/v1/api-schema</x:v>
      </x:c>
      <x:c r="D22" s="18" t="str">
        <x:v>Checked 2026-09-15</x:v>
      </x:c>
      <x:c r="E22" s="18" t="str">
        <x:v>Validate compatible session-scoped dimensions and metrics.</x:v>
      </x:c>
    </x:row>
    <x:row r="23" ht="58" customHeight="1">
      <x:c r="A23" s="18" t="str">
        <x:v>G10</x:v>
      </x:c>
      <x:c r="B23" s="18" t="str">
        <x:v>GA4 response metadata</x:v>
      </x:c>
      <x:c r="C23" s="18" t="str">
        <x:v>https://developers.google.com/analytics/devguides/reporting/data/v1/rest/v1beta/ResponseMetaData</x:v>
      </x:c>
      <x:c r="D23" s="18" t="str">
        <x:v>Checked 2026-09-15</x:v>
      </x:c>
      <x:c r="E23" s="18" t="str">
        <x:v>Timezone, thresholding, sampling and data-loss indicators.</x:v>
      </x:c>
    </x:row>
    <x:row r="24" ht="58" customHeight="1">
      <x:c r="A24" s="18" t="str">
        <x:v>G11</x:v>
      </x:c>
      <x:c r="B24" s="18" t="str">
        <x:v>GA4 reporting expectations</x:v>
      </x:c>
      <x:c r="C24" s="18" t="str">
        <x:v>https://developers.google.com/analytics/devguides/reporting/data/v1/reporting-data-expectations</x:v>
      </x:c>
      <x:c r="D24" s="18" t="str">
        <x:v>Checked 2026-09-15</x:v>
      </x:c>
      <x:c r="E24" s="18" t="str">
        <x:v>Unique-count estimation and reporting caveats.</x:v>
      </x:c>
    </x:row>
    <x:row r="25" ht="58" customHeight="1">
      <x:c r="A25" s="18" t="str">
        <x:v>G12</x:v>
      </x:c>
      <x:c r="B25" s="18" t="str">
        <x:v>Analytics privacy</x:v>
      </x:c>
      <x:c r="C25" s="18" t="str">
        <x:v>https://support.google.com/analytics/answer/6366371?hl=en</x:v>
      </x:c>
      <x:c r="D25" s="18" t="str">
        <x:v>Checked 2026-09-15</x:v>
      </x:c>
      <x:c r="E25" s="18" t="str">
        <x:v>No PII in URLs, titles or analytics.</x:v>
      </x:c>
    </x:row>
    <x:row r="26" ht="58" customHeight="1">
      <x:c r="A26" s="18" t="str">
        <x:v>G13</x:v>
      </x:c>
      <x:c r="B26" s="18" t="str">
        <x:v>Analytics sensitive information</x:v>
      </x:c>
      <x:c r="C26" s="18" t="str">
        <x:v>https://support.google.com/analytics/answer/13297105?hl=en</x:v>
      </x:c>
      <x:c r="D26" s="18" t="str">
        <x:v>Checked 2026-09-15</x:v>
      </x:c>
      <x:c r="E26" s="18" t="str">
        <x:v>General sensitive-information restrictions; do not assume US HIPAA applies to every market.</x:v>
      </x:c>
    </x:row>
    <x:row r="27" ht="58" customHeight="1">
      <x:c r="A27" s="18" t="str">
        <x:v>T01</x:v>
      </x:c>
      <x:c r="B27" s="18" t="str">
        <x:v>OpenSEO MCP capabilities</x:v>
      </x:c>
      <x:c r="C27" s="18" t="str">
        <x:v>https://openseo.so/features/mcp</x:v>
      </x:c>
      <x:c r="D27" s="18" t="str">
        <x:v>Checked 2026-09-15</x:v>
      </x:c>
      <x:c r="E27" s="18" t="str">
        <x:v>Capabilities described by vendor; this session did not authenticate an OpenSEO project.</x:v>
      </x:c>
    </x:row>
    <x:row r="28" ht="30" customHeight="1">
      <x:c r="A28" s="18"/>
      <x:c r="B28" s="18"/>
      <x:c r="C28" s="18"/>
      <x:c r="D28" s="18"/>
      <x:c r="E28" s="18"/>
    </x:row>
    <x:row r="29" ht="30" customHeight="1">
      <x:c r="A29" s="18"/>
      <x:c r="B29" s="18"/>
      <x:c r="C29" s="18"/>
      <x:c r="D29" s="18"/>
      <x:c r="E29" s="18"/>
    </x:row>
    <x:row r="30" ht="30" customHeight="1">
      <x:c r="A30" s="18"/>
      <x:c r="B30" s="18"/>
      <x:c r="C30" s="18"/>
      <x:c r="D30" s="18"/>
      <x:c r="E30" s="18"/>
    </x:row>
    <x:row r="31" ht="30" customHeight="1">
      <x:c r="A31" s="18"/>
      <x:c r="B31" s="18"/>
      <x:c r="C31" s="18"/>
      <x:c r="D31" s="18"/>
      <x:c r="E31" s="18"/>
    </x:row>
    <x:row r="32" ht="30" customHeight="1">
      <x:c r="A32" s="18"/>
      <x:c r="B32" s="18"/>
      <x:c r="C32" s="18"/>
      <x:c r="D32" s="18"/>
      <x:c r="E32" s="18"/>
    </x:row>
    <x:row r="33" ht="30" customHeight="1">
      <x:c r="A33" s="18"/>
      <x:c r="B33" s="18"/>
      <x:c r="C33" s="18"/>
      <x:c r="D33" s="18"/>
      <x:c r="E33" s="18"/>
    </x:row>
    <x:row r="34" ht="30" customHeight="1">
      <x:c r="A34" s="18"/>
      <x:c r="B34" s="18"/>
      <x:c r="C34" s="18"/>
      <x:c r="D34" s="18"/>
      <x:c r="E34" s="18"/>
    </x:row>
    <x:row r="35" ht="30" customHeight="1">
      <x:c r="A35" s="18"/>
      <x:c r="B35" s="18"/>
      <x:c r="C35" s="18"/>
      <x:c r="D35" s="18"/>
      <x:c r="E35" s="18"/>
    </x:row>
    <x:row r="36" ht="30" customHeight="1">
      <x:c r="A36" s="18"/>
      <x:c r="B36" s="18"/>
      <x:c r="C36" s="18"/>
      <x:c r="D36" s="18"/>
      <x:c r="E36" s="18"/>
    </x:row>
    <x:row r="37" ht="30" customHeight="1">
      <x:c r="A37" s="18"/>
      <x:c r="B37" s="18"/>
      <x:c r="C37" s="18"/>
      <x:c r="D37" s="18"/>
      <x:c r="E37" s="18"/>
    </x:row>
    <x:row r="38" ht="30" customHeight="1">
      <x:c r="A38" s="18"/>
      <x:c r="B38" s="18"/>
      <x:c r="C38" s="18"/>
      <x:c r="D38" s="18"/>
      <x:c r="E38" s="18"/>
    </x:row>
    <x:row r="39" ht="30" customHeight="1">
      <x:c r="A39" s="18"/>
      <x:c r="B39" s="18"/>
      <x:c r="C39" s="18"/>
      <x:c r="D39" s="18"/>
      <x:c r="E39" s="18"/>
    </x:row>
    <x:row r="40" ht="30" customHeight="1">
      <x:c r="A40" s="18"/>
      <x:c r="B40" s="18"/>
      <x:c r="C40" s="18"/>
      <x:c r="D40" s="18"/>
      <x:c r="E40" s="18"/>
    </x:row>
    <x:row r="41" ht="30" customHeight="1">
      <x:c r="A41" s="18"/>
      <x:c r="B41" s="18"/>
      <x:c r="C41" s="18"/>
      <x:c r="D41" s="18"/>
      <x:c r="E41" s="18"/>
    </x:row>
    <x:row r="42" ht="30" customHeight="1">
      <x:c r="A42" s="18"/>
      <x:c r="B42" s="18"/>
      <x:c r="C42" s="18"/>
      <x:c r="D42" s="18"/>
      <x:c r="E42" s="18"/>
    </x:row>
    <x:row r="43" ht="30" customHeight="1">
      <x:c r="A43" s="18"/>
      <x:c r="B43" s="18"/>
      <x:c r="C43" s="18"/>
      <x:c r="D43" s="18"/>
      <x:c r="E43" s="18"/>
    </x:row>
    <x:row r="44" ht="30" customHeight="1">
      <x:c r="A44" s="18"/>
      <x:c r="B44" s="18"/>
      <x:c r="C44" s="18"/>
      <x:c r="D44" s="18"/>
      <x:c r="E44" s="18"/>
    </x:row>
    <x:row r="45" ht="30" customHeight="1">
      <x:c r="A45" s="18"/>
      <x:c r="B45" s="18"/>
      <x:c r="C45" s="18"/>
      <x:c r="D45" s="18"/>
      <x:c r="E45" s="18"/>
    </x:row>
    <x:row r="46" ht="30" customHeight="1">
      <x:c r="A46" s="18"/>
      <x:c r="B46" s="18"/>
      <x:c r="C46" s="18"/>
      <x:c r="D46" s="18"/>
      <x:c r="E46" s="18"/>
    </x:row>
    <x:row r="47" ht="30" customHeight="1">
      <x:c r="A47" s="18"/>
      <x:c r="B47" s="18"/>
      <x:c r="C47" s="18"/>
      <x:c r="D47" s="18"/>
      <x:c r="E47" s="18"/>
    </x:row>
    <x:row r="48" ht="30" customHeight="1">
      <x:c r="A48" s="18"/>
      <x:c r="B48" s="18"/>
      <x:c r="C48" s="18"/>
      <x:c r="D48" s="18"/>
      <x:c r="E48" s="18"/>
    </x:row>
    <x:row r="49" ht="30" customHeight="1">
      <x:c r="A49" s="18"/>
      <x:c r="B49" s="18"/>
      <x:c r="C49" s="18"/>
      <x:c r="D49" s="18"/>
      <x:c r="E49" s="18"/>
    </x:row>
    <x:row r="50" ht="30" customHeight="1">
      <x:c r="A50" s="18"/>
      <x:c r="B50" s="18"/>
      <x:c r="C50" s="18"/>
      <x:c r="D50" s="18"/>
      <x:c r="E50" s="18"/>
    </x:row>
    <x:row r="51" ht="30" customHeight="1">
      <x:c r="A51" s="18"/>
      <x:c r="B51" s="18"/>
      <x:c r="C51" s="18"/>
      <x:c r="D51" s="18"/>
      <x:c r="E51" s="18"/>
    </x:row>
    <x:row r="52" ht="30" customHeight="1">
      <x:c r="A52" s="18"/>
      <x:c r="B52" s="18"/>
      <x:c r="C52" s="18"/>
      <x:c r="D52" s="18"/>
      <x:c r="E52" s="18"/>
    </x:row>
    <x:row r="53" ht="30" customHeight="1">
      <x:c r="A53" s="18"/>
      <x:c r="B53" s="18"/>
      <x:c r="C53" s="18"/>
      <x:c r="D53" s="18"/>
      <x:c r="E53" s="18"/>
    </x:row>
    <x:row r="54" ht="30" customHeight="1">
      <x:c r="A54" s="18"/>
      <x:c r="B54" s="18"/>
      <x:c r="C54" s="18"/>
      <x:c r="D54" s="18"/>
      <x:c r="E54" s="18"/>
    </x:row>
    <x:row r="55" ht="30" customHeight="1">
      <x:c r="A55" s="18"/>
      <x:c r="B55" s="18"/>
      <x:c r="C55" s="18"/>
      <x:c r="D55" s="18"/>
      <x:c r="E55" s="18"/>
    </x:row>
    <x:row r="56" ht="30" customHeight="1">
      <x:c r="A56" s="18"/>
      <x:c r="B56" s="18"/>
      <x:c r="C56" s="18"/>
      <x:c r="D56" s="18"/>
      <x:c r="E56" s="18"/>
    </x:row>
    <x:row r="57" ht="30" customHeight="1">
      <x:c r="A57" s="18"/>
      <x:c r="B57" s="18"/>
      <x:c r="C57" s="18"/>
      <x:c r="D57" s="18"/>
      <x:c r="E57" s="18"/>
    </x:row>
    <x:row r="58" ht="30" customHeight="1">
      <x:c r="A58" s="18"/>
      <x:c r="B58" s="18"/>
      <x:c r="C58" s="18"/>
      <x:c r="D58" s="18"/>
      <x:c r="E58" s="18"/>
    </x:row>
    <x:row r="59" ht="30" customHeight="1">
      <x:c r="A59" s="18"/>
      <x:c r="B59" s="18"/>
      <x:c r="C59" s="18"/>
      <x:c r="D59" s="18"/>
      <x:c r="E59" s="18"/>
    </x:row>
    <x:row r="60" ht="30" customHeight="1">
      <x:c r="A60" s="18"/>
      <x:c r="B60" s="18"/>
      <x:c r="C60" s="18"/>
      <x:c r="D60" s="18"/>
      <x:c r="E60" s="18"/>
    </x:row>
    <x:row r="61" ht="30" customHeight="1">
      <x:c r="A61" s="18"/>
      <x:c r="B61" s="18"/>
      <x:c r="C61" s="18"/>
      <x:c r="D61" s="18"/>
      <x:c r="E61" s="18"/>
    </x:row>
    <x:row r="62" ht="30" customHeight="1">
      <x:c r="A62" s="18"/>
      <x:c r="B62" s="18"/>
      <x:c r="C62" s="18"/>
      <x:c r="D62" s="18"/>
      <x:c r="E62" s="18"/>
    </x:row>
    <x:row r="63" ht="30" customHeight="1">
      <x:c r="A63" s="18"/>
      <x:c r="B63" s="18"/>
      <x:c r="C63" s="18"/>
      <x:c r="D63" s="18"/>
      <x:c r="E63" s="18"/>
    </x:row>
    <x:row r="64" ht="30" customHeight="1">
      <x:c r="A64" s="18"/>
      <x:c r="B64" s="18"/>
      <x:c r="C64" s="18"/>
      <x:c r="D64" s="18"/>
      <x:c r="E64" s="18"/>
    </x:row>
    <x:row r="65" ht="30" customHeight="1">
      <x:c r="A65" s="18"/>
      <x:c r="B65" s="18"/>
      <x:c r="C65" s="18"/>
      <x:c r="D65" s="18"/>
      <x:c r="E65" s="18"/>
    </x:row>
    <x:row r="66" ht="30" customHeight="1">
      <x:c r="A66" s="18"/>
      <x:c r="B66" s="18"/>
      <x:c r="C66" s="18"/>
      <x:c r="D66" s="18"/>
      <x:c r="E66" s="18"/>
    </x:row>
    <x:row r="67" ht="30" customHeight="1">
      <x:c r="A67" s="18"/>
      <x:c r="B67" s="18"/>
      <x:c r="C67" s="18"/>
      <x:c r="D67" s="18"/>
      <x:c r="E67" s="18"/>
    </x:row>
    <x:row r="68" ht="30" customHeight="1">
      <x:c r="A68" s="18"/>
      <x:c r="B68" s="18"/>
      <x:c r="C68" s="18"/>
      <x:c r="D68" s="18"/>
      <x:c r="E68" s="18"/>
    </x:row>
    <x:row r="69" ht="30" customHeight="1">
      <x:c r="A69" s="18"/>
      <x:c r="B69" s="18"/>
      <x:c r="C69" s="18"/>
      <x:c r="D69" s="18"/>
      <x:c r="E69" s="18"/>
    </x:row>
    <x:row r="70" ht="30" customHeight="1">
      <x:c r="A70" s="18"/>
      <x:c r="B70" s="18"/>
      <x:c r="C70" s="18"/>
      <x:c r="D70" s="18"/>
      <x:c r="E70" s="18"/>
    </x:row>
    <x:row r="71" ht="30" customHeight="1">
      <x:c r="A71" s="18"/>
      <x:c r="B71" s="18"/>
      <x:c r="C71" s="18"/>
      <x:c r="D71" s="18"/>
      <x:c r="E71" s="18"/>
    </x:row>
    <x:row r="72" ht="30" customHeight="1">
      <x:c r="A72" s="18"/>
      <x:c r="B72" s="18"/>
      <x:c r="C72" s="18"/>
      <x:c r="D72" s="18"/>
      <x:c r="E72" s="18"/>
    </x:row>
    <x:row r="73" ht="30" customHeight="1">
      <x:c r="A73" s="18"/>
      <x:c r="B73" s="18"/>
      <x:c r="C73" s="18"/>
      <x:c r="D73" s="18"/>
      <x:c r="E73" s="18"/>
    </x:row>
    <x:row r="74" ht="30" customHeight="1">
      <x:c r="A74" s="18"/>
      <x:c r="B74" s="18"/>
      <x:c r="C74" s="18"/>
      <x:c r="D74" s="18"/>
      <x:c r="E74" s="18"/>
    </x:row>
    <x:row r="75" ht="30" customHeight="1">
      <x:c r="A75" s="18"/>
      <x:c r="B75" s="18"/>
      <x:c r="C75" s="18"/>
      <x:c r="D75" s="18"/>
      <x:c r="E75" s="18"/>
    </x:row>
    <x:row r="76" ht="30" customHeight="1">
      <x:c r="A76" s="18"/>
      <x:c r="B76" s="18"/>
      <x:c r="C76" s="18"/>
      <x:c r="D76" s="18"/>
      <x:c r="E76" s="18"/>
    </x:row>
    <x:row r="77" ht="30" customHeight="1">
      <x:c r="A77" s="18"/>
      <x:c r="B77" s="18"/>
      <x:c r="C77" s="18"/>
      <x:c r="D77" s="18"/>
      <x:c r="E77" s="18"/>
    </x:row>
    <x:row r="78" ht="30" customHeight="1">
      <x:c r="A78" s="18"/>
      <x:c r="B78" s="18"/>
      <x:c r="C78" s="18"/>
      <x:c r="D78" s="18"/>
      <x:c r="E78" s="18"/>
    </x:row>
    <x:row r="79" ht="30" customHeight="1">
      <x:c r="A79" s="18"/>
      <x:c r="B79" s="18"/>
      <x:c r="C79" s="18"/>
      <x:c r="D79" s="18"/>
      <x:c r="E79" s="18"/>
    </x:row>
    <x:row r="80" ht="30" customHeight="1">
      <x:c r="A80" s="18"/>
      <x:c r="B80" s="18"/>
      <x:c r="C80" s="18"/>
      <x:c r="D80" s="18"/>
      <x:c r="E80" s="18"/>
    </x:row>
    <x:row r="81" ht="30" customHeight="1">
      <x:c r="A81" s="18"/>
      <x:c r="B81" s="18"/>
      <x:c r="C81" s="18"/>
      <x:c r="D81" s="18"/>
      <x:c r="E81" s="18"/>
    </x:row>
    <x:row r="82" ht="30" customHeight="1">
      <x:c r="A82" s="18"/>
      <x:c r="B82" s="18"/>
      <x:c r="C82" s="18"/>
      <x:c r="D82" s="18"/>
      <x:c r="E82" s="18"/>
    </x:row>
    <x:row r="83" ht="30" customHeight="1">
      <x:c r="A83" s="18"/>
      <x:c r="B83" s="18"/>
      <x:c r="C83" s="18"/>
      <x:c r="D83" s="18"/>
      <x:c r="E83" s="18"/>
    </x:row>
    <x:row r="84" ht="30" customHeight="1">
      <x:c r="A84" s="18"/>
      <x:c r="B84" s="18"/>
      <x:c r="C84" s="18"/>
      <x:c r="D84" s="18"/>
      <x:c r="E84" s="18"/>
    </x:row>
    <x:row r="85" ht="30" customHeight="1">
      <x:c r="A85" s="18"/>
      <x:c r="B85" s="18"/>
      <x:c r="C85" s="18"/>
      <x:c r="D85" s="18"/>
      <x:c r="E85" s="18"/>
    </x:row>
    <x:row r="86" ht="30" customHeight="1">
      <x:c r="A86" s="18"/>
      <x:c r="B86" s="18"/>
      <x:c r="C86" s="18"/>
      <x:c r="D86" s="18"/>
      <x:c r="E86" s="18"/>
    </x:row>
    <x:row r="87" ht="30" customHeight="1">
      <x:c r="A87" s="18"/>
      <x:c r="B87" s="18"/>
      <x:c r="C87" s="18"/>
      <x:c r="D87" s="18"/>
      <x:c r="E87" s="18"/>
    </x:row>
    <x:row r="88" ht="30" customHeight="1">
      <x:c r="A88" s="18"/>
      <x:c r="B88" s="18"/>
      <x:c r="C88" s="18"/>
      <x:c r="D88" s="18"/>
      <x:c r="E88" s="18"/>
    </x:row>
    <x:row r="89" ht="30" customHeight="1">
      <x:c r="A89" s="18"/>
      <x:c r="B89" s="18"/>
      <x:c r="C89" s="18"/>
      <x:c r="D89" s="18"/>
      <x:c r="E89" s="18"/>
    </x:row>
    <x:row r="90" ht="30" customHeight="1">
      <x:c r="A90" s="18"/>
      <x:c r="B90" s="18"/>
      <x:c r="C90" s="18"/>
      <x:c r="D90" s="18"/>
      <x:c r="E90" s="18"/>
    </x:row>
    <x:row r="91" ht="30" customHeight="1">
      <x:c r="A91" s="18"/>
      <x:c r="B91" s="18"/>
      <x:c r="C91" s="18"/>
      <x:c r="D91" s="18"/>
      <x:c r="E91" s="18"/>
    </x:row>
    <x:row r="92" ht="30" customHeight="1">
      <x:c r="A92" s="18"/>
      <x:c r="B92" s="18"/>
      <x:c r="C92" s="18"/>
      <x:c r="D92" s="18"/>
      <x:c r="E92" s="18"/>
    </x:row>
    <x:row r="93" ht="30" customHeight="1">
      <x:c r="A93" s="18"/>
      <x:c r="B93" s="18"/>
      <x:c r="C93" s="18"/>
      <x:c r="D93" s="18"/>
      <x:c r="E93" s="18"/>
    </x:row>
    <x:row r="94" ht="30" customHeight="1">
      <x:c r="A94" s="18"/>
      <x:c r="B94" s="18"/>
      <x:c r="C94" s="18"/>
      <x:c r="D94" s="18"/>
      <x:c r="E94" s="18"/>
    </x:row>
    <x:row r="95" ht="30" customHeight="1">
      <x:c r="A95" s="18"/>
      <x:c r="B95" s="18"/>
      <x:c r="C95" s="18"/>
      <x:c r="D95" s="18"/>
      <x:c r="E95" s="18"/>
    </x:row>
    <x:row r="96" ht="30" customHeight="1">
      <x:c r="A96" s="18"/>
      <x:c r="B96" s="18"/>
      <x:c r="C96" s="18"/>
      <x:c r="D96" s="18"/>
      <x:c r="E96" s="18"/>
    </x:row>
    <x:row r="97" ht="30" customHeight="1">
      <x:c r="A97" s="18"/>
      <x:c r="B97" s="18"/>
      <x:c r="C97" s="18"/>
      <x:c r="D97" s="18"/>
      <x:c r="E97" s="18"/>
    </x:row>
    <x:row r="98" ht="30" customHeight="1">
      <x:c r="A98" s="18"/>
      <x:c r="B98" s="18"/>
      <x:c r="C98" s="18"/>
      <x:c r="D98" s="18"/>
      <x:c r="E98" s="18"/>
    </x:row>
    <x:row r="99" ht="30" customHeight="1">
      <x:c r="A99" s="18"/>
      <x:c r="B99" s="18"/>
      <x:c r="C99" s="18"/>
      <x:c r="D99" s="18"/>
      <x:c r="E99" s="18"/>
    </x:row>
    <x:row r="100" ht="30" customHeight="1">
      <x:c r="A100" s="18"/>
      <x:c r="B100" s="18"/>
      <x:c r="C100" s="18"/>
      <x:c r="D100" s="18"/>
      <x:c r="E100" s="18"/>
    </x:row>
    <x:row r="101" ht="30" customHeight="1">
      <x:c r="A101" s="18"/>
      <x:c r="B101" s="18"/>
      <x:c r="C101" s="18"/>
      <x:c r="D101" s="18"/>
      <x:c r="E101" s="18"/>
    </x:row>
    <x:row r="102" ht="30" customHeight="1">
      <x:c r="A102" s="18"/>
      <x:c r="B102" s="18"/>
      <x:c r="C102" s="18"/>
      <x:c r="D102" s="18"/>
      <x:c r="E102" s="18"/>
    </x:row>
    <x:row r="103" ht="30" customHeight="1">
      <x:c r="A103" s="18"/>
      <x:c r="B103" s="18"/>
      <x:c r="C103" s="18"/>
      <x:c r="D103" s="18"/>
      <x:c r="E103" s="18"/>
    </x:row>
    <x:row r="104" ht="30" customHeight="1">
      <x:c r="A104" s="18"/>
      <x:c r="B104" s="18"/>
      <x:c r="C104" s="18"/>
      <x:c r="D104" s="18"/>
      <x:c r="E104" s="18"/>
    </x:row>
    <x:row r="105" ht="30" customHeight="1">
      <x:c r="A105" s="18"/>
      <x:c r="B105" s="18"/>
      <x:c r="C105" s="18"/>
      <x:c r="D105" s="18"/>
      <x:c r="E105" s="18"/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e715eafd896340d8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</x:cols>
  <x:sheetData>
    <x:row r="1" ht="34" customHeight="1">
      <x:c r="A1" s="3" t="str">
        <x:v>DATA DICTIONARY</x:v>
      </x:c>
      <x:c r="B1" s="3"/>
      <x:c r="C1" s="3"/>
      <x:c r="D1" s="3"/>
      <x:c r="E1" s="3"/>
      <x:c r="F1" s="3"/>
      <x:c r="G1" s="3"/>
    </x:row>
    <x:row r="2" ht="23" customHeight="1">
      <x:c r="A2" s="7" t="str">
        <x:v>Import contract and metric semantics. Preserve source grain, URL identity and quality metadata.</x:v>
      </x:c>
      <x:c r="B2" s="7"/>
      <x:c r="C2" s="7"/>
      <x:c r="D2" s="7"/>
      <x:c r="E2" s="7"/>
      <x:c r="F2" s="7"/>
      <x:c r="G2" s="7"/>
    </x:row>
    <x:row r="3" ht="23" customHeight="1">
      <x:c r="A3" s="7"/>
      <x:c r="B3" s="7"/>
      <x:c r="C3" s="7"/>
      <x:c r="D3" s="7"/>
      <x:c r="E3" s="7"/>
      <x:c r="F3" s="7"/>
      <x:c r="G3" s="7"/>
    </x:row>
    <x:row r="5" ht="32" customHeight="1">
      <x:c r="A5" s="12" t="str">
        <x:v>sheet</x:v>
      </x:c>
      <x:c r="B5" s="12" t="str">
        <x:v>field</x:v>
      </x:c>
      <x:c r="C5" s="12" t="str">
        <x:v>definition</x:v>
      </x:c>
      <x:c r="D5" s="12" t="str">
        <x:v>type</x:v>
      </x:c>
      <x:c r="E5" s="12" t="str">
        <x:v>grain</x:v>
      </x:c>
      <x:c r="F5" s="12" t="str">
        <x:v>aggregation</x:v>
      </x:c>
      <x:c r="G5" s="12" t="str">
        <x:v>missing_rule</x:v>
      </x:c>
    </x:row>
    <x:row r="6" ht="65" customHeight="1">
      <x:c r="A6" s="18" t="str">
        <x:v>02_Markets_Locales</x:v>
      </x:c>
      <x:c r="B6" s="18" t="str">
        <x:v>market_locale_key</x:v>
      </x:c>
      <x:c r="C6" s="18" t="str">
        <x:v>Market locale key; see sheet subtitle and companion audit prompt.</x:v>
      </x:c>
      <x:c r="D6" s="18" t="str">
        <x:v>Text</x:v>
      </x:c>
      <x:c r="E6" s="18" t="str">
        <x:v>Configured market × language</x:v>
      </x:c>
      <x:c r="F6" s="18" t="str">
        <x:v>Dimension / evidence; do not sum</x:v>
      </x:c>
      <x:c r="G6" s="18" t="str">
        <x:v>Blank numeric + explicit quality; never invented zero</x:v>
      </x:c>
    </x:row>
    <x:row r="7" ht="65" customHeight="1">
      <x:c r="A7" s="18" t="str">
        <x:v>02_Markets_Locales</x:v>
      </x:c>
      <x:c r="B7" s="18" t="str">
        <x:v>target_country</x:v>
      </x:c>
      <x:c r="C7" s="18" t="str">
        <x:v>Business/service market targeted by the page, derived from verified routing or content ownership.</x:v>
      </x:c>
      <x:c r="D7" s="18" t="str">
        <x:v>Text</x:v>
      </x:c>
      <x:c r="E7" s="18" t="str">
        <x:v>Configured market × language</x:v>
      </x:c>
      <x:c r="F7" s="18" t="str">
        <x:v>Dimension / evidence; do not sum</x:v>
      </x:c>
      <x:c r="G7" s="18" t="str">
        <x:v>Blank numeric + explicit quality; never invented zero</x:v>
      </x:c>
    </x:row>
    <x:row r="8" ht="65" customHeight="1">
      <x:c r="A8" s="18" t="str">
        <x:v>02_Markets_Locales</x:v>
      </x:c>
      <x:c r="B8" s="18" t="str">
        <x:v>country_code</x:v>
      </x:c>
      <x:c r="C8" s="18" t="str">
        <x:v>Country code; see sheet subtitle and companion audit prompt.</x:v>
      </x:c>
      <x:c r="D8" s="18" t="str">
        <x:v>Text</x:v>
      </x:c>
      <x:c r="E8" s="18" t="str">
        <x:v>Configured market × language</x:v>
      </x:c>
      <x:c r="F8" s="18" t="str">
        <x:v>Dimension / evidence; do not sum</x:v>
      </x:c>
      <x:c r="G8" s="18" t="str">
        <x:v>Blank numeric + explicit quality; never invented zero</x:v>
      </x:c>
    </x:row>
    <x:row r="9" ht="65" customHeight="1">
      <x:c r="A9" s="18" t="str">
        <x:v>02_Markets_Locales</x:v>
      </x:c>
      <x:c r="B9" s="18" t="str">
        <x:v>country_slug</x:v>
      </x:c>
      <x:c r="C9" s="18" t="str">
        <x:v>Country slug; see sheet subtitle and companion audit prompt.</x:v>
      </x:c>
      <x:c r="D9" s="18" t="str">
        <x:v>Text</x:v>
      </x:c>
      <x:c r="E9" s="18" t="str">
        <x:v>Configured market × language</x:v>
      </x:c>
      <x:c r="F9" s="18" t="str">
        <x:v>Dimension / evidence; do not sum</x:v>
      </x:c>
      <x:c r="G9" s="18" t="str">
        <x:v>Blank numeric + explicit quality; never invented zero</x:v>
      </x:c>
    </x:row>
    <x:row r="10" ht="65" customHeight="1">
      <x:c r="A10" s="18" t="str">
        <x:v>02_Markets_Locales</x:v>
      </x:c>
      <x:c r="B10" s="18" t="str">
        <x:v>language</x:v>
      </x:c>
      <x:c r="C10" s="18" t="str">
        <x:v>Page content language, not visitor browser language; use with target_country.</x:v>
      </x:c>
      <x:c r="D10" s="18" t="str">
        <x:v>Text</x:v>
      </x:c>
      <x:c r="E10" s="18" t="str">
        <x:v>Configured market × language</x:v>
      </x:c>
      <x:c r="F10" s="18" t="str">
        <x:v>Dimension / evidence; do not sum</x:v>
      </x:c>
      <x:c r="G10" s="18" t="str">
        <x:v>Blank numeric + explicit quality; never invented zero</x:v>
      </x:c>
    </x:row>
    <x:row r="11" ht="65" customHeight="1">
      <x:c r="A11" s="18" t="str">
        <x:v>02_Markets_Locales</x:v>
      </x:c>
      <x:c r="B11" s="18" t="str">
        <x:v>hreflang_tag</x:v>
      </x:c>
      <x:c r="C11" s="18" t="str">
        <x:v>Hreflang tag; see sheet subtitle and companion audit prompt.</x:v>
      </x:c>
      <x:c r="D11" s="18" t="str">
        <x:v>Text</x:v>
      </x:c>
      <x:c r="E11" s="18" t="str">
        <x:v>Configured market × language</x:v>
      </x:c>
      <x:c r="F11" s="18" t="str">
        <x:v>Dimension / evidence; do not sum</x:v>
      </x:c>
      <x:c r="G11" s="18" t="str">
        <x:v>Blank numeric + explicit quality; never invented zero</x:v>
      </x:c>
    </x:row>
    <x:row r="12" ht="65" customHeight="1">
      <x:c r="A12" s="18" t="str">
        <x:v>02_Markets_Locales</x:v>
      </x:c>
      <x:c r="B12" s="18" t="str">
        <x:v>default_language</x:v>
      </x:c>
      <x:c r="C12" s="18" t="str">
        <x:v>Default language; see sheet subtitle and companion audit prompt.</x:v>
      </x:c>
      <x:c r="D12" s="18" t="str">
        <x:v>Text</x:v>
      </x:c>
      <x:c r="E12" s="18" t="str">
        <x:v>Configured market × language</x:v>
      </x:c>
      <x:c r="F12" s="18" t="str">
        <x:v>Dimension / evidence; do not sum</x:v>
      </x:c>
      <x:c r="G12" s="18" t="str">
        <x:v>Blank numeric + explicit quality; never invented zero</x:v>
      </x:c>
    </x:row>
    <x:row r="13" ht="65" customHeight="1">
      <x:c r="A13" s="18" t="str">
        <x:v>02_Markets_Locales</x:v>
      </x:c>
      <x:c r="B13" s="18" t="str">
        <x:v>is_default</x:v>
      </x:c>
      <x:c r="C13" s="18" t="str">
        <x:v>Is default; see sheet subtitle and companion audit prompt.</x:v>
      </x:c>
      <x:c r="D13" s="18" t="str">
        <x:v>Text</x:v>
      </x:c>
      <x:c r="E13" s="18" t="str">
        <x:v>Configured market × language</x:v>
      </x:c>
      <x:c r="F13" s="18" t="str">
        <x:v>Dimension / evidence; do not sum</x:v>
      </x:c>
      <x:c r="G13" s="18" t="str">
        <x:v>Blank numeric + explicit quality; never invented zero</x:v>
      </x:c>
    </x:row>
    <x:row r="14" ht="65" customHeight="1">
      <x:c r="A14" s="18" t="str">
        <x:v>02_Markets_Locales</x:v>
      </x:c>
      <x:c r="B14" s="18" t="str">
        <x:v>configured_home_path</x:v>
      </x:c>
      <x:c r="C14" s="18" t="str">
        <x:v>Configured home path; see sheet subtitle and companion audit prompt.</x:v>
      </x:c>
      <x:c r="D14" s="18" t="str">
        <x:v>Text</x:v>
      </x:c>
      <x:c r="E14" s="18" t="str">
        <x:v>Configured market × language</x:v>
      </x:c>
      <x:c r="F14" s="18" t="str">
        <x:v>Dimension / evidence; do not sum</x:v>
      </x:c>
      <x:c r="G14" s="18" t="str">
        <x:v>Blank numeric + explicit quality; never invented zero</x:v>
      </x:c>
    </x:row>
    <x:row r="15" ht="65" customHeight="1">
      <x:c r="A15" s="18" t="str">
        <x:v>02_Markets_Locales</x:v>
      </x:c>
      <x:c r="B15" s="18" t="str">
        <x:v>booking_timezone</x:v>
      </x:c>
      <x:c r="C15" s="18" t="str">
        <x:v>Booking timezone; see sheet subtitle and companion audit prompt.</x:v>
      </x:c>
      <x:c r="D15" s="18" t="str">
        <x:v>Text</x:v>
      </x:c>
      <x:c r="E15" s="18" t="str">
        <x:v>Configured market × language</x:v>
      </x:c>
      <x:c r="F15" s="18" t="str">
        <x:v>Dimension / evidence; do not sum</x:v>
      </x:c>
      <x:c r="G15" s="18" t="str">
        <x:v>Blank numeric + explicit quality; never invented zero</x:v>
      </x:c>
    </x:row>
    <x:row r="16" ht="65" customHeight="1">
      <x:c r="A16" s="18" t="str">
        <x:v>02_Markets_Locales</x:v>
      </x:c>
      <x:c r="B16" s="18" t="str">
        <x:v>verification_state</x:v>
      </x:c>
      <x:c r="C16" s="18" t="str">
        <x:v>Verification state; see sheet subtitle and companion audit prompt.</x:v>
      </x:c>
      <x:c r="D16" s="18" t="str">
        <x:v>Text</x:v>
      </x:c>
      <x:c r="E16" s="18" t="str">
        <x:v>Configured market × language</x:v>
      </x:c>
      <x:c r="F16" s="18" t="str">
        <x:v>Dimension / evidence; do not sum</x:v>
      </x:c>
      <x:c r="G16" s="18" t="str">
        <x:v>Blank numeric + explicit quality; never invented zero</x:v>
      </x:c>
    </x:row>
    <x:row r="17" ht="65" customHeight="1">
      <x:c r="A17" s="18" t="str">
        <x:v>02_Markets_Locales</x:v>
      </x:c>
      <x:c r="B17" s="18" t="str">
        <x:v>source_url</x:v>
      </x:c>
      <x:c r="C17" s="18" t="str">
        <x:v>Public or repository evidence URL; no secret-bearing URLs.</x:v>
      </x:c>
      <x:c r="D17" s="18" t="str">
        <x:v>Text</x:v>
      </x:c>
      <x:c r="E17" s="18" t="str">
        <x:v>Configured market × language</x:v>
      </x:c>
      <x:c r="F17" s="18" t="str">
        <x:v>Dimension / evidence; do not sum</x:v>
      </x:c>
      <x:c r="G17" s="18" t="str">
        <x:v>Blank numeric + explicit quality; never invented zero</x:v>
      </x:c>
    </x:row>
    <x:row r="18" ht="65" customHeight="1">
      <x:c r="A18" s="18" t="str">
        <x:v>03_Data_Access</x:v>
      </x:c>
      <x:c r="B18" s="18" t="str">
        <x:v>source</x:v>
      </x:c>
      <x:c r="C18" s="18" t="str">
        <x:v>Source; see sheet subtitle and companion audit prompt.</x:v>
      </x:c>
      <x:c r="D18" s="18" t="str">
        <x:v>Text</x:v>
      </x:c>
      <x:c r="E18" s="18" t="str">
        <x:v>One record per stated sheet entity / check / observation</x:v>
      </x:c>
      <x:c r="F18" s="18" t="str">
        <x:v>Dimension / evidence; do not sum</x:v>
      </x:c>
      <x:c r="G18" s="18" t="str">
        <x:v>Blank numeric + explicit quality; never invented zero</x:v>
      </x:c>
    </x:row>
    <x:row r="19" ht="65" customHeight="1">
      <x:c r="A19" s="18" t="str">
        <x:v>03_Data_Access</x:v>
      </x:c>
      <x:c r="B19" s="18" t="str">
        <x:v>property_or_scope</x:v>
      </x:c>
      <x:c r="C19" s="18" t="str">
        <x:v>Property or scope; see sheet subtitle and companion audit prompt.</x:v>
      </x:c>
      <x:c r="D19" s="18" t="str">
        <x:v>Text</x:v>
      </x:c>
      <x:c r="E19" s="18" t="str">
        <x:v>One record per stated sheet entity / check / observation</x:v>
      </x:c>
      <x:c r="F19" s="18" t="str">
        <x:v>Dimension / evidence; do not sum</x:v>
      </x:c>
      <x:c r="G19" s="18" t="str">
        <x:v>Blank numeric + explicit quality; never invented zero</x:v>
      </x:c>
    </x:row>
    <x:row r="20" ht="65" customHeight="1">
      <x:c r="A20" s="18" t="str">
        <x:v>03_Data_Access</x:v>
      </x:c>
      <x:c r="B20" s="18" t="str">
        <x:v>current_session_status</x:v>
      </x:c>
      <x:c r="C20" s="18" t="str">
        <x:v>Current session status; see sheet subtitle and companion audit prompt.</x:v>
      </x:c>
      <x:c r="D20" s="18" t="str">
        <x:v>Text</x:v>
      </x:c>
      <x:c r="E20" s="18" t="str">
        <x:v>One record per stated sheet entity / check / observation</x:v>
      </x:c>
      <x:c r="F20" s="18" t="str">
        <x:v>Dimension / evidence; do not sum</x:v>
      </x:c>
      <x:c r="G20" s="18" t="str">
        <x:v>Blank numeric + explicit quality; never invented zero</x:v>
      </x:c>
    </x:row>
    <x:row r="21" ht="65" customHeight="1">
      <x:c r="A21" s="18" t="str">
        <x:v>03_Data_Access</x:v>
      </x:c>
      <x:c r="B21" s="18" t="str">
        <x:v>last_documented_check</x:v>
      </x:c>
      <x:c r="C21" s="18" t="str">
        <x:v>Last documented check; see sheet subtitle and companion audit prompt.</x:v>
      </x:c>
      <x:c r="D21" s="18" t="str">
        <x:v>Text</x:v>
      </x:c>
      <x:c r="E21" s="18" t="str">
        <x:v>One record per stated sheet entity / check / observation</x:v>
      </x:c>
      <x:c r="F21" s="18" t="str">
        <x:v>Dimension / evidence; do not sum</x:v>
      </x:c>
      <x:c r="G21" s="18" t="str">
        <x:v>Blank numeric + explicit quality; never invented zero</x:v>
      </x:c>
    </x:row>
    <x:row r="22" ht="65" customHeight="1">
      <x:c r="A22" s="18" t="str">
        <x:v>03_Data_Access</x:v>
      </x:c>
      <x:c r="B22" s="18" t="str">
        <x:v>required_read_check</x:v>
      </x:c>
      <x:c r="C22" s="18" t="str">
        <x:v>Required read check; see sheet subtitle and companion audit prompt.</x:v>
      </x:c>
      <x:c r="D22" s="18" t="str">
        <x:v>Text</x:v>
      </x:c>
      <x:c r="E22" s="18" t="str">
        <x:v>One record per stated sheet entity / check / observation</x:v>
      </x:c>
      <x:c r="F22" s="18" t="str">
        <x:v>Dimension / evidence; do not sum</x:v>
      </x:c>
      <x:c r="G22" s="18" t="str">
        <x:v>Blank numeric + explicit quality; never invented zero</x:v>
      </x:c>
    </x:row>
    <x:row r="23" ht="65" customHeight="1">
      <x:c r="A23" s="18" t="str">
        <x:v>03_Data_Access</x:v>
      </x:c>
      <x:c r="B23" s="18" t="str">
        <x:v>data_limit_or_risk</x:v>
      </x:c>
      <x:c r="C23" s="18" t="str">
        <x:v>Data limit or risk; see sheet subtitle and companion audit prompt.</x:v>
      </x:c>
      <x:c r="D23" s="18" t="str">
        <x:v>Text</x:v>
      </x:c>
      <x:c r="E23" s="18" t="str">
        <x:v>One record per stated sheet entity / check / observation</x:v>
      </x:c>
      <x:c r="F23" s="18" t="str">
        <x:v>Dimension / evidence; do not sum</x:v>
      </x:c>
      <x:c r="G23" s="18" t="str">
        <x:v>Blank numeric + explicit quality; never invented zero</x:v>
      </x:c>
    </x:row>
    <x:row r="24" ht="65" customHeight="1">
      <x:c r="A24" s="18" t="str">
        <x:v>03_Data_Access</x:v>
      </x:c>
      <x:c r="B24" s="18" t="str">
        <x:v>next_action</x:v>
      </x:c>
      <x:c r="C24" s="18" t="str">
        <x:v>Next action; see sheet subtitle and companion audit prompt.</x:v>
      </x:c>
      <x:c r="D24" s="18" t="str">
        <x:v>Text</x:v>
      </x:c>
      <x:c r="E24" s="18" t="str">
        <x:v>One record per stated sheet entity / check / observation</x:v>
      </x:c>
      <x:c r="F24" s="18" t="str">
        <x:v>Dimension / evidence; do not sum</x:v>
      </x:c>
      <x:c r="G24" s="18" t="str">
        <x:v>Blank numeric + explicit quality; never invented zero</x:v>
      </x:c>
    </x:row>
    <x:row r="25" ht="65" customHeight="1">
      <x:c r="A25" s="18" t="str">
        <x:v>03_Data_Access</x:v>
      </x:c>
      <x:c r="B25" s="18" t="str">
        <x:v>source_url</x:v>
      </x:c>
      <x:c r="C25" s="18" t="str">
        <x:v>Public or repository evidence URL; no secret-bearing URLs.</x:v>
      </x:c>
      <x:c r="D25" s="18" t="str">
        <x:v>Text</x:v>
      </x:c>
      <x:c r="E25" s="18" t="str">
        <x:v>One record per stated sheet entity / check / observation</x:v>
      </x:c>
      <x:c r="F25" s="18" t="str">
        <x:v>Dimension / evidence; do not sum</x:v>
      </x:c>
      <x:c r="G25" s="18" t="str">
        <x:v>Blank numeric + explicit quality; never invented zero</x:v>
      </x:c>
    </x:row>
    <x:row r="26" ht="65" customHeight="1">
      <x:c r="A26" s="18" t="str">
        <x:v>04_Page_Inventory</x:v>
      </x:c>
      <x:c r="B26" s="18" t="str">
        <x:v>url_id</x:v>
      </x:c>
      <x:c r="C26" s="18" t="str">
        <x:v>Stable URL identity used to join URL-level tables; maintain historical URL mapping.</x:v>
      </x:c>
      <x:c r="D26" s="18" t="str">
        <x:v>Text</x:v>
      </x:c>
      <x:c r="E26" s="18" t="str">
        <x:v>One row per discovered URL identity</x:v>
      </x:c>
      <x:c r="F26" s="18" t="str">
        <x:v>Dimension / evidence; do not sum</x:v>
      </x:c>
      <x:c r="G26" s="18" t="str">
        <x:v>Blank numeric + explicit quality; never invented zero</x:v>
      </x:c>
    </x:row>
    <x:row r="27" ht="65" customHeight="1">
      <x:c r="A27" s="18" t="str">
        <x:v>04_Page_Inventory</x:v>
      </x:c>
      <x:c r="B27" s="18" t="str">
        <x:v>content_entity_id</x:v>
      </x:c>
      <x:c r="C27" s="18" t="str">
        <x:v>Stable content/business entity identity across translations and URL migrations.</x:v>
      </x:c>
      <x:c r="D27" s="18" t="str">
        <x:v>Text</x:v>
      </x:c>
      <x:c r="E27" s="18" t="str">
        <x:v>One row per discovered URL identity</x:v>
      </x:c>
      <x:c r="F27" s="18" t="str">
        <x:v>Dimension / evidence; do not sum</x:v>
      </x:c>
      <x:c r="G27" s="18" t="str">
        <x:v>Blank numeric + explicit quality; never invented zero</x:v>
      </x:c>
    </x:row>
    <x:row r="28" ht="65" customHeight="1">
      <x:c r="A28" s="18" t="str">
        <x:v>04_Page_Inventory</x:v>
      </x:c>
      <x:c r="B28" s="18" t="str">
        <x:v>documented_url</x:v>
      </x:c>
      <x:c r="C28" s="18" t="str">
        <x:v>URL documented in repo evidence; no current HTTP/canonical proof implied.</x:v>
      </x:c>
      <x:c r="D28" s="18" t="str">
        <x:v>Text</x:v>
      </x:c>
      <x:c r="E28" s="18" t="str">
        <x:v>One row per discovered URL identity</x:v>
      </x:c>
      <x:c r="F28" s="18" t="str">
        <x:v>Dimension / evidence; do not sum</x:v>
      </x:c>
      <x:c r="G28" s="18" t="str">
        <x:v>Blank numeric + explicit quality; never invented zero</x:v>
      </x:c>
    </x:row>
    <x:row r="29" ht="65" customHeight="1">
      <x:c r="A29" s="18" t="str">
        <x:v>04_Page_Inventory</x:v>
      </x:c>
      <x:c r="B29" s="18" t="str">
        <x:v>verified_canonical_url</x:v>
      </x:c>
      <x:c r="C29" s="18" t="str">
        <x:v>Canonical confirmed from current production evidence, not simply assumed from URL shape.</x:v>
      </x:c>
      <x:c r="D29" s="18" t="str">
        <x:v>Text</x:v>
      </x:c>
      <x:c r="E29" s="18" t="str">
        <x:v>One row per discovered URL identity</x:v>
      </x:c>
      <x:c r="F29" s="18" t="str">
        <x:v>Dimension / evidence; do not sum</x:v>
      </x:c>
      <x:c r="G29" s="18" t="str">
        <x:v>Blank numeric + explicit quality; never invented zero</x:v>
      </x:c>
    </x:row>
    <x:row r="30" ht="65" customHeight="1">
      <x:c r="A30" s="18" t="str">
        <x:v>04_Page_Inventory</x:v>
      </x:c>
      <x:c r="B30" s="18" t="str">
        <x:v>target_country</x:v>
      </x:c>
      <x:c r="C30" s="18" t="str">
        <x:v>Business/service market targeted by the page, derived from verified routing or content ownership.</x:v>
      </x:c>
      <x:c r="D30" s="18" t="str">
        <x:v>Text</x:v>
      </x:c>
      <x:c r="E30" s="18" t="str">
        <x:v>One row per discovered URL identity</x:v>
      </x:c>
      <x:c r="F30" s="18" t="str">
        <x:v>Dimension / evidence; do not sum</x:v>
      </x:c>
      <x:c r="G30" s="18" t="str">
        <x:v>Blank numeric + explicit quality; never invented zero</x:v>
      </x:c>
    </x:row>
    <x:row r="31" ht="65" customHeight="1">
      <x:c r="A31" s="18" t="str">
        <x:v>04_Page_Inventory</x:v>
      </x:c>
      <x:c r="B31" s="18" t="str">
        <x:v>language</x:v>
      </x:c>
      <x:c r="C31" s="18" t="str">
        <x:v>Page content language, not visitor browser language; use with target_country.</x:v>
      </x:c>
      <x:c r="D31" s="18" t="str">
        <x:v>Text</x:v>
      </x:c>
      <x:c r="E31" s="18" t="str">
        <x:v>One row per discovered URL identity</x:v>
      </x:c>
      <x:c r="F31" s="18" t="str">
        <x:v>Dimension / evidence; do not sum</x:v>
      </x:c>
      <x:c r="G31" s="18" t="str">
        <x:v>Blank numeric + explicit quality; never invented zero</x:v>
      </x:c>
    </x:row>
    <x:row r="32" ht="65" customHeight="1">
      <x:c r="A32" s="18" t="str">
        <x:v>04_Page_Inventory</x:v>
      </x:c>
      <x:c r="B32" s="18" t="str">
        <x:v>locale_tag</x:v>
      </x:c>
      <x:c r="C32" s="18" t="str">
        <x:v>Language–region combination, e.g. en-IE or pt-BR.</x:v>
      </x:c>
      <x:c r="D32" s="18" t="str">
        <x:v>Text</x:v>
      </x:c>
      <x:c r="E32" s="18" t="str">
        <x:v>One row per discovered URL identity</x:v>
      </x:c>
      <x:c r="F32" s="18" t="str">
        <x:v>Dimension / evidence; do not sum</x:v>
      </x:c>
      <x:c r="G32" s="18" t="str">
        <x:v>Blank numeric + explicit quality; never invented zero</x:v>
      </x:c>
    </x:row>
    <x:row r="33" ht="65" customHeight="1">
      <x:c r="A33" s="18" t="str">
        <x:v>04_Page_Inventory</x:v>
      </x:c>
      <x:c r="B33" s="18" t="str">
        <x:v>page_type</x:v>
      </x:c>
      <x:c r="C33" s="18" t="str">
        <x:v>Page type; see sheet subtitle and companion audit prompt.</x:v>
      </x:c>
      <x:c r="D33" s="18" t="str">
        <x:v>Text</x:v>
      </x:c>
      <x:c r="E33" s="18" t="str">
        <x:v>One row per discovered URL identity</x:v>
      </x:c>
      <x:c r="F33" s="18" t="str">
        <x:v>Dimension / evidence; do not sum</x:v>
      </x:c>
      <x:c r="G33" s="18" t="str">
        <x:v>Blank numeric + explicit quality; never invented zero</x:v>
      </x:c>
    </x:row>
    <x:row r="34" ht="65" customHeight="1">
      <x:c r="A34" s="18" t="str">
        <x:v>04_Page_Inventory</x:v>
      </x:c>
      <x:c r="B34" s="18" t="str">
        <x:v>discovery_source</x:v>
      </x:c>
      <x:c r="C34" s="18" t="str">
        <x:v>Discovery source; see sheet subtitle and companion audit prompt.</x:v>
      </x:c>
      <x:c r="D34" s="18" t="str">
        <x:v>Text</x:v>
      </x:c>
      <x:c r="E34" s="18" t="str">
        <x:v>One row per discovered URL identity</x:v>
      </x:c>
      <x:c r="F34" s="18" t="str">
        <x:v>Dimension / evidence; do not sum</x:v>
      </x:c>
      <x:c r="G34" s="18" t="str">
        <x:v>Blank numeric + explicit quality; never invented zero</x:v>
      </x:c>
    </x:row>
    <x:row r="35" ht="65" customHeight="1">
      <x:c r="A35" s="18" t="str">
        <x:v>04_Page_Inventory</x:v>
      </x:c>
      <x:c r="B35" s="18" t="str">
        <x:v>inventory_state</x:v>
      </x:c>
      <x:c r="C35" s="18" t="str">
        <x:v>Inventory state; see sheet subtitle and companion audit prompt.</x:v>
      </x:c>
      <x:c r="D35" s="18" t="str">
        <x:v>Text</x:v>
      </x:c>
      <x:c r="E35" s="18" t="str">
        <x:v>One row per discovered URL identity</x:v>
      </x:c>
      <x:c r="F35" s="18" t="str">
        <x:v>Dimension / evidence; do not sum</x:v>
      </x:c>
      <x:c r="G35" s="18" t="str">
        <x:v>Blank numeric + explicit quality; never invented zero</x:v>
      </x:c>
    </x:row>
    <x:row r="36" ht="65" customHeight="1">
      <x:c r="A36" s="18" t="str">
        <x:v>04_Page_Inventory</x:v>
      </x:c>
      <x:c r="B36" s="18" t="str">
        <x:v>audit_state</x:v>
      </x:c>
      <x:c r="C36" s="18" t="str">
        <x:v>Audit state; see sheet subtitle and companion audit prompt.</x:v>
      </x:c>
      <x:c r="D36" s="18" t="str">
        <x:v>Text</x:v>
      </x:c>
      <x:c r="E36" s="18" t="str">
        <x:v>One row per discovered URL identity</x:v>
      </x:c>
      <x:c r="F36" s="18" t="str">
        <x:v>Dimension / evidence; do not sum</x:v>
      </x:c>
      <x:c r="G36" s="18" t="str">
        <x:v>Blank numeric + explicit quality; never invented zero</x:v>
      </x:c>
    </x:row>
    <x:row r="37" ht="65" customHeight="1">
      <x:c r="A37" s="18" t="str">
        <x:v>04_Page_Inventory</x:v>
      </x:c>
      <x:c r="B37" s="18" t="str">
        <x:v>first_published</x:v>
      </x:c>
      <x:c r="C37" s="18" t="str">
        <x:v>First published; see sheet subtitle and companion audit prompt.</x:v>
      </x:c>
      <x:c r="D37" s="18" t="str">
        <x:v>Text</x:v>
      </x:c>
      <x:c r="E37" s="18" t="str">
        <x:v>One row per discovered URL identity</x:v>
      </x:c>
      <x:c r="F37" s="18" t="str">
        <x:v>Dimension / evidence; do not sum</x:v>
      </x:c>
      <x:c r="G37" s="18" t="str">
        <x:v>Blank numeric + explicit quality; never invented zero</x:v>
      </x:c>
    </x:row>
    <x:row r="38" ht="65" customHeight="1">
      <x:c r="A38" s="18" t="str">
        <x:v>04_Page_Inventory</x:v>
      </x:c>
      <x:c r="B38" s="18" t="str">
        <x:v>source_file_or_model</x:v>
      </x:c>
      <x:c r="C38" s="18" t="str">
        <x:v>Source file or model; see sheet subtitle and companion audit prompt.</x:v>
      </x:c>
      <x:c r="D38" s="18" t="str">
        <x:v>Text</x:v>
      </x:c>
      <x:c r="E38" s="18" t="str">
        <x:v>One row per discovered URL identity</x:v>
      </x:c>
      <x:c r="F38" s="18" t="str">
        <x:v>Dimension / evidence; do not sum</x:v>
      </x:c>
      <x:c r="G38" s="18" t="str">
        <x:v>Blank numeric + explicit quality; never invented zero</x:v>
      </x:c>
    </x:row>
    <x:row r="39" ht="65" customHeight="1">
      <x:c r="A39" s="18" t="str">
        <x:v>04_Page_Inventory</x:v>
      </x:c>
      <x:c r="B39" s="18" t="str">
        <x:v>expected_indexability</x:v>
      </x:c>
      <x:c r="C39" s="18" t="str">
        <x:v>Expected indexability; see sheet subtitle and companion audit prompt.</x:v>
      </x:c>
      <x:c r="D39" s="18" t="str">
        <x:v>Text</x:v>
      </x:c>
      <x:c r="E39" s="18" t="str">
        <x:v>One row per discovered URL identity</x:v>
      </x:c>
      <x:c r="F39" s="18" t="str">
        <x:v>Dimension / evidence; do not sum</x:v>
      </x:c>
      <x:c r="G39" s="18" t="str">
        <x:v>Blank numeric + explicit quality; never invented zero</x:v>
      </x:c>
    </x:row>
    <x:row r="40" ht="65" customHeight="1">
      <x:c r="A40" s="18" t="str">
        <x:v>04_Page_Inventory</x:v>
      </x:c>
      <x:c r="B40" s="18" t="str">
        <x:v>actual_indexability</x:v>
      </x:c>
      <x:c r="C40" s="18" t="str">
        <x:v>Actual indexability; see sheet subtitle and companion audit prompt.</x:v>
      </x:c>
      <x:c r="D40" s="18" t="str">
        <x:v>Text</x:v>
      </x:c>
      <x:c r="E40" s="18" t="str">
        <x:v>One row per discovered URL identity</x:v>
      </x:c>
      <x:c r="F40" s="18" t="str">
        <x:v>Dimension / evidence; do not sum</x:v>
      </x:c>
      <x:c r="G40" s="18" t="str">
        <x:v>Blank numeric + explicit quality; never invented zero</x:v>
      </x:c>
    </x:row>
    <x:row r="41" ht="65" customHeight="1">
      <x:c r="A41" s="18" t="str">
        <x:v>04_Page_Inventory</x:v>
      </x:c>
      <x:c r="B41" s="18" t="str">
        <x:v>primary_keyword</x:v>
      </x:c>
      <x:c r="C41" s="18" t="str">
        <x:v>Primary keyword; see sheet subtitle and companion audit prompt.</x:v>
      </x:c>
      <x:c r="D41" s="18" t="str">
        <x:v>Text</x:v>
      </x:c>
      <x:c r="E41" s="18" t="str">
        <x:v>One row per discovered URL identity</x:v>
      </x:c>
      <x:c r="F41" s="18" t="str">
        <x:v>Dimension / evidence; do not sum</x:v>
      </x:c>
      <x:c r="G41" s="18" t="str">
        <x:v>Blank numeric + explicit quality; never invented zero</x:v>
      </x:c>
    </x:row>
    <x:row r="42" ht="65" customHeight="1">
      <x:c r="A42" s="18" t="str">
        <x:v>04_Page_Inventory</x:v>
      </x:c>
      <x:c r="B42" s="18" t="str">
        <x:v>owner</x:v>
      </x:c>
      <x:c r="C42" s="18" t="str">
        <x:v>Owner; see sheet subtitle and companion audit prompt.</x:v>
      </x:c>
      <x:c r="D42" s="18" t="str">
        <x:v>Text</x:v>
      </x:c>
      <x:c r="E42" s="18" t="str">
        <x:v>One row per discovered URL identity</x:v>
      </x:c>
      <x:c r="F42" s="18" t="str">
        <x:v>Dimension / evidence; do not sum</x:v>
      </x:c>
      <x:c r="G42" s="18" t="str">
        <x:v>Blank numeric + explicit quality; never invented zero</x:v>
      </x:c>
    </x:row>
    <x:row r="43" ht="65" customHeight="1">
      <x:c r="A43" s="18" t="str">
        <x:v>04_Page_Inventory</x:v>
      </x:c>
      <x:c r="B43" s="18" t="str">
        <x:v>last_checked</x:v>
      </x:c>
      <x:c r="C43" s="18" t="str">
        <x:v>Last checked; see sheet subtitle and companion audit prompt.</x:v>
      </x:c>
      <x:c r="D43" s="18" t="str">
        <x:v>Text</x:v>
      </x:c>
      <x:c r="E43" s="18" t="str">
        <x:v>One row per discovered URL identity</x:v>
      </x:c>
      <x:c r="F43" s="18" t="str">
        <x:v>Dimension / evidence; do not sum</x:v>
      </x:c>
      <x:c r="G43" s="18" t="str">
        <x:v>Blank numeric + explicit quality; never invented zero</x:v>
      </x:c>
    </x:row>
    <x:row r="44" ht="65" customHeight="1">
      <x:c r="A44" s="18" t="str">
        <x:v>04_Page_Inventory</x:v>
      </x:c>
      <x:c r="B44" s="18" t="str">
        <x:v>evidence_url</x:v>
      </x:c>
      <x:c r="C44" s="18" t="str">
        <x:v>Reproducible evidence URL for the specific observation, not a generic unsupported claim.</x:v>
      </x:c>
      <x:c r="D44" s="18" t="str">
        <x:v>Text</x:v>
      </x:c>
      <x:c r="E44" s="18" t="str">
        <x:v>One row per discovered URL identity</x:v>
      </x:c>
      <x:c r="F44" s="18" t="str">
        <x:v>Dimension / evidence; do not sum</x:v>
      </x:c>
      <x:c r="G44" s="18" t="str">
        <x:v>Blank numeric + explicit quality; never invented zero</x:v>
      </x:c>
    </x:row>
    <x:row r="45" ht="65" customHeight="1">
      <x:c r="A45" s="18" t="str">
        <x:v>05_Technical_QA</x:v>
      </x:c>
      <x:c r="B45" s="18" t="str">
        <x:v>check_id</x:v>
      </x:c>
      <x:c r="C45" s="18" t="str">
        <x:v>Check id; see sheet subtitle and companion audit prompt.</x:v>
      </x:c>
      <x:c r="D45" s="18" t="str">
        <x:v>Text</x:v>
      </x:c>
      <x:c r="E45" s="18" t="str">
        <x:v>One record per stated sheet entity / check / observation</x:v>
      </x:c>
      <x:c r="F45" s="18" t="str">
        <x:v>Dimension / evidence; do not sum</x:v>
      </x:c>
      <x:c r="G45" s="18" t="str">
        <x:v>Blank numeric + explicit quality; never invented zero</x:v>
      </x:c>
    </x:row>
    <x:row r="46" ht="65" customHeight="1">
      <x:c r="A46" s="18" t="str">
        <x:v>05_Technical_QA</x:v>
      </x:c>
      <x:c r="B46" s="18" t="str">
        <x:v>area</x:v>
      </x:c>
      <x:c r="C46" s="18" t="str">
        <x:v>Area; see sheet subtitle and companion audit prompt.</x:v>
      </x:c>
      <x:c r="D46" s="18" t="str">
        <x:v>Text</x:v>
      </x:c>
      <x:c r="E46" s="18" t="str">
        <x:v>One record per stated sheet entity / check / observation</x:v>
      </x:c>
      <x:c r="F46" s="18" t="str">
        <x:v>Dimension / evidence; do not sum</x:v>
      </x:c>
      <x:c r="G46" s="18" t="str">
        <x:v>Blank numeric + explicit quality; never invented zero</x:v>
      </x:c>
    </x:row>
    <x:row r="47" ht="65" customHeight="1">
      <x:c r="A47" s="18" t="str">
        <x:v>05_Technical_QA</x:v>
      </x:c>
      <x:c r="B47" s="18" t="str">
        <x:v>check</x:v>
      </x:c>
      <x:c r="C47" s="18" t="str">
        <x:v>Check; see sheet subtitle and companion audit prompt.</x:v>
      </x:c>
      <x:c r="D47" s="18" t="str">
        <x:v>Text</x:v>
      </x:c>
      <x:c r="E47" s="18" t="str">
        <x:v>One record per stated sheet entity / check / observation</x:v>
      </x:c>
      <x:c r="F47" s="18" t="str">
        <x:v>Dimension / evidence; do not sum</x:v>
      </x:c>
      <x:c r="G47" s="18" t="str">
        <x:v>Blank numeric + explicit quality; never invented zero</x:v>
      </x:c>
    </x:row>
    <x:row r="48" ht="65" customHeight="1">
      <x:c r="A48" s="18" t="str">
        <x:v>05_Technical_QA</x:v>
      </x:c>
      <x:c r="B48" s="18" t="str">
        <x:v>scope</x:v>
      </x:c>
      <x:c r="C48" s="18" t="str">
        <x:v>Scope; see sheet subtitle and companion audit prompt.</x:v>
      </x:c>
      <x:c r="D48" s="18" t="str">
        <x:v>Text</x:v>
      </x:c>
      <x:c r="E48" s="18" t="str">
        <x:v>One record per stated sheet entity / check / observation</x:v>
      </x:c>
      <x:c r="F48" s="18" t="str">
        <x:v>Dimension / evidence; do not sum</x:v>
      </x:c>
      <x:c r="G48" s="18" t="str">
        <x:v>Blank numeric + explicit quality; never invented zero</x:v>
      </x:c>
    </x:row>
    <x:row r="49" ht="65" customHeight="1">
      <x:c r="A49" s="18" t="str">
        <x:v>05_Technical_QA</x:v>
      </x:c>
      <x:c r="B49" s="18" t="str">
        <x:v>status</x:v>
      </x:c>
      <x:c r="C49" s="18" t="str">
        <x:v>Workflow or test status; only Verified/Passed with reproducible evidence.</x:v>
      </x:c>
      <x:c r="D49" s="18" t="str">
        <x:v>Text</x:v>
      </x:c>
      <x:c r="E49" s="18" t="str">
        <x:v>One record per stated sheet entity / check / observation</x:v>
      </x:c>
      <x:c r="F49" s="18" t="str">
        <x:v>Dimension / evidence; do not sum</x:v>
      </x:c>
      <x:c r="G49" s="18" t="str">
        <x:v>Blank numeric + explicit quality; never invented zero</x:v>
      </x:c>
    </x:row>
    <x:row r="50" ht="65" customHeight="1">
      <x:c r="A50" s="18" t="str">
        <x:v>05_Technical_QA</x:v>
      </x:c>
      <x:c r="B50" s="18" t="str">
        <x:v>tested_count</x:v>
      </x:c>
      <x:c r="C50" s="18" t="str">
        <x:v>Tested count; see sheet subtitle and companion audit prompt.</x:v>
      </x:c>
      <x:c r="D50" s="18" t="str">
        <x:v>Text</x:v>
      </x:c>
      <x:c r="E50" s="18" t="str">
        <x:v>One record per stated sheet entity / check / observation</x:v>
      </x:c>
      <x:c r="F50" s="18" t="str">
        <x:v>Dimension / evidence; do not sum</x:v>
      </x:c>
      <x:c r="G50" s="18" t="str">
        <x:v>Blank numeric + explicit quality; never invented zero</x:v>
      </x:c>
    </x:row>
    <x:row r="51" ht="65" customHeight="1">
      <x:c r="A51" s="18" t="str">
        <x:v>05_Technical_QA</x:v>
      </x:c>
      <x:c r="B51" s="18" t="str">
        <x:v>affected_count</x:v>
      </x:c>
      <x:c r="C51" s="18" t="str">
        <x:v>Affected count; see sheet subtitle and companion audit prompt.</x:v>
      </x:c>
      <x:c r="D51" s="18" t="str">
        <x:v>Text</x:v>
      </x:c>
      <x:c r="E51" s="18" t="str">
        <x:v>One record per stated sheet entity / check / observation</x:v>
      </x:c>
      <x:c r="F51" s="18" t="str">
        <x:v>Dimension / evidence; do not sum</x:v>
      </x:c>
      <x:c r="G51" s="18" t="str">
        <x:v>Blank numeric + explicit quality; never invented zero</x:v>
      </x:c>
    </x:row>
    <x:row r="52" ht="65" customHeight="1">
      <x:c r="A52" s="18" t="str">
        <x:v>05_Technical_QA</x:v>
      </x:c>
      <x:c r="B52" s="18" t="str">
        <x:v>evidence</x:v>
      </x:c>
      <x:c r="C52" s="18" t="str">
        <x:v>Evidence; see sheet subtitle and companion audit prompt.</x:v>
      </x:c>
      <x:c r="D52" s="18" t="str">
        <x:v>Text</x:v>
      </x:c>
      <x:c r="E52" s="18" t="str">
        <x:v>One record per stated sheet entity / check / observation</x:v>
      </x:c>
      <x:c r="F52" s="18" t="str">
        <x:v>Dimension / evidence; do not sum</x:v>
      </x:c>
      <x:c r="G52" s="18" t="str">
        <x:v>Blank numeric + explicit quality; never invented zero</x:v>
      </x:c>
    </x:row>
    <x:row r="53" ht="65" customHeight="1">
      <x:c r="A53" s="18" t="str">
        <x:v>05_Technical_QA</x:v>
      </x:c>
      <x:c r="B53" s="18" t="str">
        <x:v>owner</x:v>
      </x:c>
      <x:c r="C53" s="18" t="str">
        <x:v>Owner; see sheet subtitle and companion audit prompt.</x:v>
      </x:c>
      <x:c r="D53" s="18" t="str">
        <x:v>Text</x:v>
      </x:c>
      <x:c r="E53" s="18" t="str">
        <x:v>One record per stated sheet entity / check / observation</x:v>
      </x:c>
      <x:c r="F53" s="18" t="str">
        <x:v>Dimension / evidence; do not sum</x:v>
      </x:c>
      <x:c r="G53" s="18" t="str">
        <x:v>Blank numeric + explicit quality; never invented zero</x:v>
      </x:c>
    </x:row>
    <x:row r="54" ht="65" customHeight="1">
      <x:c r="A54" s="18" t="str">
        <x:v>06_Locale_Data_QA</x:v>
      </x:c>
      <x:c r="B54" s="18" t="str">
        <x:v>market_locale_key</x:v>
      </x:c>
      <x:c r="C54" s="18" t="str">
        <x:v>Market locale key; see sheet subtitle and companion audit prompt.</x:v>
      </x:c>
      <x:c r="D54" s="18" t="str">
        <x:v>Text</x:v>
      </x:c>
      <x:c r="E54" s="18" t="str">
        <x:v>Market × language × current QA state</x:v>
      </x:c>
      <x:c r="F54" s="18" t="str">
        <x:v>Dimension / evidence; do not sum</x:v>
      </x:c>
      <x:c r="G54" s="18" t="str">
        <x:v>Blank numeric + explicit quality; never invented zero</x:v>
      </x:c>
    </x:row>
    <x:row r="55" ht="65" customHeight="1">
      <x:c r="A55" s="18" t="str">
        <x:v>06_Locale_Data_QA</x:v>
      </x:c>
      <x:c r="B55" s="18" t="str">
        <x:v>target_country</x:v>
      </x:c>
      <x:c r="C55" s="18" t="str">
        <x:v>Business/service market targeted by the page, derived from verified routing or content ownership.</x:v>
      </x:c>
      <x:c r="D55" s="18" t="str">
        <x:v>Text</x:v>
      </x:c>
      <x:c r="E55" s="18" t="str">
        <x:v>Market × language × current QA state</x:v>
      </x:c>
      <x:c r="F55" s="18" t="str">
        <x:v>Dimension / evidence; do not sum</x:v>
      </x:c>
      <x:c r="G55" s="18" t="str">
        <x:v>Blank numeric + explicit quality; never invented zero</x:v>
      </x:c>
    </x:row>
    <x:row r="56" ht="65" customHeight="1">
      <x:c r="A56" s="18" t="str">
        <x:v>06_Locale_Data_QA</x:v>
      </x:c>
      <x:c r="B56" s="18" t="str">
        <x:v>language</x:v>
      </x:c>
      <x:c r="C56" s="18" t="str">
        <x:v>Page content language, not visitor browser language; use with target_country.</x:v>
      </x:c>
      <x:c r="D56" s="18" t="str">
        <x:v>Text</x:v>
      </x:c>
      <x:c r="E56" s="18" t="str">
        <x:v>Market × language × current QA state</x:v>
      </x:c>
      <x:c r="F56" s="18" t="str">
        <x:v>Dimension / evidence; do not sum</x:v>
      </x:c>
      <x:c r="G56" s="18" t="str">
        <x:v>Blank numeric + explicit quality; never invented zero</x:v>
      </x:c>
    </x:row>
    <x:row r="57" ht="65" customHeight="1">
      <x:c r="A57" s="18" t="str">
        <x:v>06_Locale_Data_QA</x:v>
      </x:c>
      <x:c r="B57" s="18" t="str">
        <x:v>configured_path</x:v>
      </x:c>
      <x:c r="C57" s="18" t="str">
        <x:v>Configured path; see sheet subtitle and companion audit prompt.</x:v>
      </x:c>
      <x:c r="D57" s="18" t="str">
        <x:v>Text</x:v>
      </x:c>
      <x:c r="E57" s="18" t="str">
        <x:v>Market × language × current QA state</x:v>
      </x:c>
      <x:c r="F57" s="18" t="str">
        <x:v>Dimension / evidence; do not sum</x:v>
      </x:c>
      <x:c r="G57" s="18" t="str">
        <x:v>Blank numeric + explicit quality; never invented zero</x:v>
      </x:c>
    </x:row>
    <x:row r="58" ht="65" customHeight="1">
      <x:c r="A58" s="18" t="str">
        <x:v>06_Locale_Data_QA</x:v>
      </x:c>
      <x:c r="B58" s="18" t="str">
        <x:v>runtime_enabled</x:v>
      </x:c>
      <x:c r="C58" s="18" t="str">
        <x:v>Runtime enabled; see sheet subtitle and companion audit prompt.</x:v>
      </x:c>
      <x:c r="D58" s="18" t="str">
        <x:v>Text</x:v>
      </x:c>
      <x:c r="E58" s="18" t="str">
        <x:v>Market × language × current QA state</x:v>
      </x:c>
      <x:c r="F58" s="18" t="str">
        <x:v>Dimension / evidence; do not sum</x:v>
      </x:c>
      <x:c r="G58" s="18" t="str">
        <x:v>Blank numeric + explicit quality; never invented zero</x:v>
      </x:c>
    </x:row>
    <x:row r="59" ht="65" customHeight="1">
      <x:c r="A59" s="18" t="str">
        <x:v>06_Locale_Data_QA</x:v>
      </x:c>
      <x:c r="B59" s="18" t="str">
        <x:v>data_filter_check</x:v>
      </x:c>
      <x:c r="C59" s="18" t="str">
        <x:v>Data filter check; see sheet subtitle and companion audit prompt.</x:v>
      </x:c>
      <x:c r="D59" s="18" t="str">
        <x:v>Text</x:v>
      </x:c>
      <x:c r="E59" s="18" t="str">
        <x:v>Market × language × current QA state</x:v>
      </x:c>
      <x:c r="F59" s="18" t="str">
        <x:v>Dimension / evidence; do not sum</x:v>
      </x:c>
      <x:c r="G59" s="18" t="str">
        <x:v>Blank numeric + explicit quality; never invented zero</x:v>
      </x:c>
    </x:row>
    <x:row r="60" ht="65" customHeight="1">
      <x:c r="A60" s="18" t="str">
        <x:v>06_Locale_Data_QA</x:v>
      </x:c>
      <x:c r="B60" s="18" t="str">
        <x:v>cache_isolation</x:v>
      </x:c>
      <x:c r="C60" s="18" t="str">
        <x:v>Cache isolation; see sheet subtitle and companion audit prompt.</x:v>
      </x:c>
      <x:c r="D60" s="18" t="str">
        <x:v>Text</x:v>
      </x:c>
      <x:c r="E60" s="18" t="str">
        <x:v>Market × language × current QA state</x:v>
      </x:c>
      <x:c r="F60" s="18" t="str">
        <x:v>Dimension / evidence; do not sum</x:v>
      </x:c>
      <x:c r="G60" s="18" t="str">
        <x:v>Blank numeric + explicit quality; never invented zero</x:v>
      </x:c>
    </x:row>
    <x:row r="61" ht="65" customHeight="1">
      <x:c r="A61" s="18" t="str">
        <x:v>06_Locale_Data_QA</x:v>
      </x:c>
      <x:c r="B61" s="18" t="str">
        <x:v>fallback_language</x:v>
      </x:c>
      <x:c r="C61" s="18" t="str">
        <x:v>Fallback language; see sheet subtitle and companion audit prompt.</x:v>
      </x:c>
      <x:c r="D61" s="18" t="str">
        <x:v>Text</x:v>
      </x:c>
      <x:c r="E61" s="18" t="str">
        <x:v>Market × language × current QA state</x:v>
      </x:c>
      <x:c r="F61" s="18" t="str">
        <x:v>Dimension / evidence; do not sum</x:v>
      </x:c>
      <x:c r="G61" s="18" t="str">
        <x:v>Blank numeric + explicit quality; never invented zero</x:v>
      </x:c>
    </x:row>
    <x:row r="62" ht="65" customHeight="1">
      <x:c r="A62" s="18" t="str">
        <x:v>06_Locale_Data_QA</x:v>
      </x:c>
      <x:c r="B62" s="18" t="str">
        <x:v>price_currency</x:v>
      </x:c>
      <x:c r="C62" s="18" t="str">
        <x:v>Price currency; see sheet subtitle and companion audit prompt.</x:v>
      </x:c>
      <x:c r="D62" s="18" t="str">
        <x:v>Text</x:v>
      </x:c>
      <x:c r="E62" s="18" t="str">
        <x:v>Market × language × current QA state</x:v>
      </x:c>
      <x:c r="F62" s="18" t="str">
        <x:v>Dimension / evidence; do not sum</x:v>
      </x:c>
      <x:c r="G62" s="18" t="str">
        <x:v>Blank numeric + explicit quality; never invented zero</x:v>
      </x:c>
    </x:row>
    <x:row r="63" ht="65" customHeight="1">
      <x:c r="A63" s="18" t="str">
        <x:v>06_Locale_Data_QA</x:v>
      </x:c>
      <x:c r="B63" s="18" t="str">
        <x:v>booking_context</x:v>
      </x:c>
      <x:c r="C63" s="18" t="str">
        <x:v>Booking context; see sheet subtitle and companion audit prompt.</x:v>
      </x:c>
      <x:c r="D63" s="18" t="str">
        <x:v>Text</x:v>
      </x:c>
      <x:c r="E63" s="18" t="str">
        <x:v>Market × language × current QA state</x:v>
      </x:c>
      <x:c r="F63" s="18" t="str">
        <x:v>Dimension / evidence; do not sum</x:v>
      </x:c>
      <x:c r="G63" s="18" t="str">
        <x:v>Blank numeric + explicit quality; never invented zero</x:v>
      </x:c>
    </x:row>
    <x:row r="64" ht="65" customHeight="1">
      <x:c r="A64" s="18" t="str">
        <x:v>06_Locale_Data_QA</x:v>
      </x:c>
      <x:c r="B64" s="18" t="str">
        <x:v>clinical_availability</x:v>
      </x:c>
      <x:c r="C64" s="18" t="str">
        <x:v>Clinical availability; see sheet subtitle and companion audit prompt.</x:v>
      </x:c>
      <x:c r="D64" s="18" t="str">
        <x:v>Text</x:v>
      </x:c>
      <x:c r="E64" s="18" t="str">
        <x:v>Market × language × current QA state</x:v>
      </x:c>
      <x:c r="F64" s="18" t="str">
        <x:v>Dimension / evidence; do not sum</x:v>
      </x:c>
      <x:c r="G64" s="18" t="str">
        <x:v>Blank numeric + explicit quality; never invented zero</x:v>
      </x:c>
    </x:row>
    <x:row r="65" ht="65" customHeight="1">
      <x:c r="A65" s="18" t="str">
        <x:v>06_Locale_Data_QA</x:v>
      </x:c>
      <x:c r="B65" s="18" t="str">
        <x:v>evidence</x:v>
      </x:c>
      <x:c r="C65" s="18" t="str">
        <x:v>Evidence; see sheet subtitle and companion audit prompt.</x:v>
      </x:c>
      <x:c r="D65" s="18" t="str">
        <x:v>Text</x:v>
      </x:c>
      <x:c r="E65" s="18" t="str">
        <x:v>Market × language × current QA state</x:v>
      </x:c>
      <x:c r="F65" s="18" t="str">
        <x:v>Dimension / evidence; do not sum</x:v>
      </x:c>
      <x:c r="G65" s="18" t="str">
        <x:v>Blank numeric + explicit quality; never invented zero</x:v>
      </x:c>
    </x:row>
    <x:row r="66" ht="65" customHeight="1">
      <x:c r="A66" s="18" t="str">
        <x:v>06_Locale_Data_QA</x:v>
      </x:c>
      <x:c r="B66" s="18" t="str">
        <x:v>checked_at</x:v>
      </x:c>
      <x:c r="C66" s="18" t="str">
        <x:v>Checked at; see sheet subtitle and companion audit prompt.</x:v>
      </x:c>
      <x:c r="D66" s="18" t="str">
        <x:v>Date / timestamp</x:v>
      </x:c>
      <x:c r="E66" s="18" t="str">
        <x:v>Market × language × current QA state</x:v>
      </x:c>
      <x:c r="F66" s="18" t="str">
        <x:v>Dimension / evidence; do not sum</x:v>
      </x:c>
      <x:c r="G66" s="18" t="str">
        <x:v>Blank numeric + explicit quality; never invented zero</x:v>
      </x:c>
    </x:row>
    <x:row r="67" ht="65" customHeight="1">
      <x:c r="A67" s="18" t="str">
        <x:v>07_Hreflang</x:v>
      </x:c>
      <x:c r="B67" s="18" t="str">
        <x:v>checked_at</x:v>
      </x:c>
      <x:c r="C67" s="18" t="str">
        <x:v>Checked at; see sheet subtitle and companion audit prompt.</x:v>
      </x:c>
      <x:c r="D67" s="18" t="str">
        <x:v>Date / timestamp</x:v>
      </x:c>
      <x:c r="E67" s="18" t="str">
        <x:v>Check time × source URL × alternate URL</x:v>
      </x:c>
      <x:c r="F67" s="18" t="str">
        <x:v>Dimension / evidence; do not sum</x:v>
      </x:c>
      <x:c r="G67" s="18" t="str">
        <x:v>Blank numeric + explicit quality; never invented zero</x:v>
      </x:c>
    </x:row>
    <x:row r="68" ht="65" customHeight="1">
      <x:c r="A68" s="18" t="str">
        <x:v>07_Hreflang</x:v>
      </x:c>
      <x:c r="B68" s="18" t="str">
        <x:v>cluster_id</x:v>
      </x:c>
      <x:c r="C68" s="18" t="str">
        <x:v>Cluster id; see sheet subtitle and companion audit prompt.</x:v>
      </x:c>
      <x:c r="D68" s="18" t="str">
        <x:v>Text</x:v>
      </x:c>
      <x:c r="E68" s="18" t="str">
        <x:v>Check time × source URL × alternate URL</x:v>
      </x:c>
      <x:c r="F68" s="18" t="str">
        <x:v>Dimension / evidence; do not sum</x:v>
      </x:c>
      <x:c r="G68" s="18" t="str">
        <x:v>Blank numeric + explicit quality; never invented zero</x:v>
      </x:c>
    </x:row>
    <x:row r="69" ht="65" customHeight="1">
      <x:c r="A69" s="18" t="str">
        <x:v>07_Hreflang</x:v>
      </x:c>
      <x:c r="B69" s="18" t="str">
        <x:v>source_url_id</x:v>
      </x:c>
      <x:c r="C69" s="18" t="str">
        <x:v>Source url id; see sheet subtitle and companion audit prompt.</x:v>
      </x:c>
      <x:c r="D69" s="18" t="str">
        <x:v>Text</x:v>
      </x:c>
      <x:c r="E69" s="18" t="str">
        <x:v>Check time × source URL × alternate URL</x:v>
      </x:c>
      <x:c r="F69" s="18" t="str">
        <x:v>Dimension / evidence; do not sum</x:v>
      </x:c>
      <x:c r="G69" s="18" t="str">
        <x:v>Blank numeric + explicit quality; never invented zero</x:v>
      </x:c>
    </x:row>
    <x:row r="70" ht="65" customHeight="1">
      <x:c r="A70" s="18" t="str">
        <x:v>07_Hreflang</x:v>
      </x:c>
      <x:c r="B70" s="18" t="str">
        <x:v>source_url</x:v>
      </x:c>
      <x:c r="C70" s="18" t="str">
        <x:v>Public or repository evidence URL; no secret-bearing URLs.</x:v>
      </x:c>
      <x:c r="D70" s="18" t="str">
        <x:v>Text</x:v>
      </x:c>
      <x:c r="E70" s="18" t="str">
        <x:v>Check time × source URL × alternate URL</x:v>
      </x:c>
      <x:c r="F70" s="18" t="str">
        <x:v>Dimension / evidence; do not sum</x:v>
      </x:c>
      <x:c r="G70" s="18" t="str">
        <x:v>Blank numeric + explicit quality; never invented zero</x:v>
      </x:c>
    </x:row>
    <x:row r="71" ht="65" customHeight="1">
      <x:c r="A71" s="18" t="str">
        <x:v>07_Hreflang</x:v>
      </x:c>
      <x:c r="B71" s="18" t="str">
        <x:v>declared_tag</x:v>
      </x:c>
      <x:c r="C71" s="18" t="str">
        <x:v>Declared tag; see sheet subtitle and companion audit prompt.</x:v>
      </x:c>
      <x:c r="D71" s="18" t="str">
        <x:v>Text</x:v>
      </x:c>
      <x:c r="E71" s="18" t="str">
        <x:v>Check time × source URL × alternate URL</x:v>
      </x:c>
      <x:c r="F71" s="18" t="str">
        <x:v>Dimension / evidence; do not sum</x:v>
      </x:c>
      <x:c r="G71" s="18" t="str">
        <x:v>Blank numeric + explicit quality; never invented zero</x:v>
      </x:c>
    </x:row>
    <x:row r="72" ht="65" customHeight="1">
      <x:c r="A72" s="18" t="str">
        <x:v>07_Hreflang</x:v>
      </x:c>
      <x:c r="B72" s="18" t="str">
        <x:v>alternate_url</x:v>
      </x:c>
      <x:c r="C72" s="18" t="str">
        <x:v>Alternate url; see sheet subtitle and companion audit prompt.</x:v>
      </x:c>
      <x:c r="D72" s="18" t="str">
        <x:v>Text</x:v>
      </x:c>
      <x:c r="E72" s="18" t="str">
        <x:v>Check time × source URL × alternate URL</x:v>
      </x:c>
      <x:c r="F72" s="18" t="str">
        <x:v>Dimension / evidence; do not sum</x:v>
      </x:c>
      <x:c r="G72" s="18" t="str">
        <x:v>Blank numeric + explicit quality; never invented zero</x:v>
      </x:c>
    </x:row>
    <x:row r="73" ht="65" customHeight="1">
      <x:c r="A73" s="18" t="str">
        <x:v>07_Hreflang</x:v>
      </x:c>
      <x:c r="B73" s="18" t="str">
        <x:v>alternate_status</x:v>
      </x:c>
      <x:c r="C73" s="18" t="str">
        <x:v>Alternate status; see sheet subtitle and companion audit prompt.</x:v>
      </x:c>
      <x:c r="D73" s="18" t="str">
        <x:v>Text</x:v>
      </x:c>
      <x:c r="E73" s="18" t="str">
        <x:v>Check time × source URL × alternate URL</x:v>
      </x:c>
      <x:c r="F73" s="18" t="str">
        <x:v>Dimension / evidence; do not sum</x:v>
      </x:c>
      <x:c r="G73" s="18" t="str">
        <x:v>Blank numeric + explicit quality; never invented zero</x:v>
      </x:c>
    </x:row>
    <x:row r="74" ht="65" customHeight="1">
      <x:c r="A74" s="18" t="str">
        <x:v>07_Hreflang</x:v>
      </x:c>
      <x:c r="B74" s="18" t="str">
        <x:v>alternate_canonical</x:v>
      </x:c>
      <x:c r="C74" s="18" t="str">
        <x:v>Alternate canonical; see sheet subtitle and companion audit prompt.</x:v>
      </x:c>
      <x:c r="D74" s="18" t="str">
        <x:v>Text</x:v>
      </x:c>
      <x:c r="E74" s="18" t="str">
        <x:v>Check time × source URL × alternate URL</x:v>
      </x:c>
      <x:c r="F74" s="18" t="str">
        <x:v>Dimension / evidence; do not sum</x:v>
      </x:c>
      <x:c r="G74" s="18" t="str">
        <x:v>Blank numeric + explicit quality; never invented zero</x:v>
      </x:c>
    </x:row>
    <x:row r="75" ht="65" customHeight="1">
      <x:c r="A75" s="18" t="str">
        <x:v>07_Hreflang</x:v>
      </x:c>
      <x:c r="B75" s="18" t="str">
        <x:v>alternate_indexability</x:v>
      </x:c>
      <x:c r="C75" s="18" t="str">
        <x:v>Alternate indexability; see sheet subtitle and companion audit prompt.</x:v>
      </x:c>
      <x:c r="D75" s="18" t="str">
        <x:v>Text</x:v>
      </x:c>
      <x:c r="E75" s="18" t="str">
        <x:v>Check time × source URL × alternate URL</x:v>
      </x:c>
      <x:c r="F75" s="18" t="str">
        <x:v>Dimension / evidence; do not sum</x:v>
      </x:c>
      <x:c r="G75" s="18" t="str">
        <x:v>Blank numeric + explicit quality; never invented zero</x:v>
      </x:c>
    </x:row>
    <x:row r="76" ht="65" customHeight="1">
      <x:c r="A76" s="18" t="str">
        <x:v>07_Hreflang</x:v>
      </x:c>
      <x:c r="B76" s="18" t="str">
        <x:v>equivalent_content</x:v>
      </x:c>
      <x:c r="C76" s="18" t="str">
        <x:v>Equivalent content; see sheet subtitle and companion audit prompt.</x:v>
      </x:c>
      <x:c r="D76" s="18" t="str">
        <x:v>Text</x:v>
      </x:c>
      <x:c r="E76" s="18" t="str">
        <x:v>Check time × source URL × alternate URL</x:v>
      </x:c>
      <x:c r="F76" s="18" t="str">
        <x:v>Dimension / evidence; do not sum</x:v>
      </x:c>
      <x:c r="G76" s="18" t="str">
        <x:v>Blank numeric + explicit quality; never invented zero</x:v>
      </x:c>
    </x:row>
    <x:row r="77" ht="65" customHeight="1">
      <x:c r="A77" s="18" t="str">
        <x:v>07_Hreflang</x:v>
      </x:c>
      <x:c r="B77" s="18" t="str">
        <x:v>reciprocal</x:v>
      </x:c>
      <x:c r="C77" s="18" t="str">
        <x:v>Reciprocal; see sheet subtitle and companion audit prompt.</x:v>
      </x:c>
      <x:c r="D77" s="18" t="str">
        <x:v>Text</x:v>
      </x:c>
      <x:c r="E77" s="18" t="str">
        <x:v>Check time × source URL × alternate URL</x:v>
      </x:c>
      <x:c r="F77" s="18" t="str">
        <x:v>Dimension / evidence; do not sum</x:v>
      </x:c>
      <x:c r="G77" s="18" t="str">
        <x:v>Blank numeric + explicit quality; never invented zero</x:v>
      </x:c>
    </x:row>
    <x:row r="78" ht="65" customHeight="1">
      <x:c r="A78" s="18" t="str">
        <x:v>07_Hreflang</x:v>
      </x:c>
      <x:c r="B78" s="18" t="str">
        <x:v>is_self_reference</x:v>
      </x:c>
      <x:c r="C78" s="18" t="str">
        <x:v>Is self reference; see sheet subtitle and companion audit prompt.</x:v>
      </x:c>
      <x:c r="D78" s="18" t="str">
        <x:v>Text</x:v>
      </x:c>
      <x:c r="E78" s="18" t="str">
        <x:v>Check time × source URL × alternate URL</x:v>
      </x:c>
      <x:c r="F78" s="18" t="str">
        <x:v>Dimension / evidence; do not sum</x:v>
      </x:c>
      <x:c r="G78" s="18" t="str">
        <x:v>Blank numeric + explicit quality; never invented zero</x:v>
      </x:c>
    </x:row>
    <x:row r="79" ht="65" customHeight="1">
      <x:c r="A79" s="18" t="str">
        <x:v>07_Hreflang</x:v>
      </x:c>
      <x:c r="B79" s="18" t="str">
        <x:v>x_default_valid</x:v>
      </x:c>
      <x:c r="C79" s="18" t="str">
        <x:v>X default valid; see sheet subtitle and companion audit prompt.</x:v>
      </x:c>
      <x:c r="D79" s="18" t="str">
        <x:v>Text</x:v>
      </x:c>
      <x:c r="E79" s="18" t="str">
        <x:v>Check time × source URL × alternate URL</x:v>
      </x:c>
      <x:c r="F79" s="18" t="str">
        <x:v>Dimension / evidence; do not sum</x:v>
      </x:c>
      <x:c r="G79" s="18" t="str">
        <x:v>Blank numeric + explicit quality; never invented zero</x:v>
      </x:c>
    </x:row>
    <x:row r="80" ht="65" customHeight="1">
      <x:c r="A80" s="18" t="str">
        <x:v>07_Hreflang</x:v>
      </x:c>
      <x:c r="B80" s="18" t="str">
        <x:v>verdict</x:v>
      </x:c>
      <x:c r="C80" s="18" t="str">
        <x:v>Verdict; see sheet subtitle and companion audit prompt.</x:v>
      </x:c>
      <x:c r="D80" s="18" t="str">
        <x:v>Text</x:v>
      </x:c>
      <x:c r="E80" s="18" t="str">
        <x:v>Check time × source URL × alternate URL</x:v>
      </x:c>
      <x:c r="F80" s="18" t="str">
        <x:v>Dimension / evidence; do not sum</x:v>
      </x:c>
      <x:c r="G80" s="18" t="str">
        <x:v>Blank numeric + explicit quality; never invented zero</x:v>
      </x:c>
    </x:row>
    <x:row r="81" ht="65" customHeight="1">
      <x:c r="A81" s="18" t="str">
        <x:v>07_Hreflang</x:v>
      </x:c>
      <x:c r="B81" s="18" t="str">
        <x:v>evidence</x:v>
      </x:c>
      <x:c r="C81" s="18" t="str">
        <x:v>Evidence; see sheet subtitle and companion audit prompt.</x:v>
      </x:c>
      <x:c r="D81" s="18" t="str">
        <x:v>Text</x:v>
      </x:c>
      <x:c r="E81" s="18" t="str">
        <x:v>Check time × source URL × alternate URL</x:v>
      </x:c>
      <x:c r="F81" s="18" t="str">
        <x:v>Dimension / evidence; do not sum</x:v>
      </x:c>
      <x:c r="G81" s="18" t="str">
        <x:v>Blank numeric + explicit quality; never invented zero</x:v>
      </x:c>
    </x:row>
    <x:row r="82" ht="65" customHeight="1">
      <x:c r="A82" s="18" t="str">
        <x:v>08_Crawl_History</x:v>
      </x:c>
      <x:c r="B82" s="18" t="str">
        <x:v>checked_at</x:v>
      </x:c>
      <x:c r="C82" s="18" t="str">
        <x:v>Checked at; see sheet subtitle and companion audit prompt.</x:v>
      </x:c>
      <x:c r="D82" s="18" t="str">
        <x:v>Date / timestamp</x:v>
      </x:c>
      <x:c r="E82" s="18" t="str">
        <x:v>Check time × requested URL</x:v>
      </x:c>
      <x:c r="F82" s="18" t="str">
        <x:v>Dimension / evidence; do not sum</x:v>
      </x:c>
      <x:c r="G82" s="18" t="str">
        <x:v>Blank numeric + explicit quality; never invented zero</x:v>
      </x:c>
    </x:row>
    <x:row r="83" ht="65" customHeight="1">
      <x:c r="A83" s="18" t="str">
        <x:v>08_Crawl_History</x:v>
      </x:c>
      <x:c r="B83" s="18" t="str">
        <x:v>url_id</x:v>
      </x:c>
      <x:c r="C83" s="18" t="str">
        <x:v>Stable URL identity used to join URL-level tables; maintain historical URL mapping.</x:v>
      </x:c>
      <x:c r="D83" s="18" t="str">
        <x:v>Text</x:v>
      </x:c>
      <x:c r="E83" s="18" t="str">
        <x:v>Check time × requested URL</x:v>
      </x:c>
      <x:c r="F83" s="18" t="str">
        <x:v>Dimension / evidence; do not sum</x:v>
      </x:c>
      <x:c r="G83" s="18" t="str">
        <x:v>Blank numeric + explicit quality; never invented zero</x:v>
      </x:c>
    </x:row>
    <x:row r="84" ht="65" customHeight="1">
      <x:c r="A84" s="18" t="str">
        <x:v>08_Crawl_History</x:v>
      </x:c>
      <x:c r="B84" s="18" t="str">
        <x:v>requested_url</x:v>
      </x:c>
      <x:c r="C84" s="18" t="str">
        <x:v>Requested url; see sheet subtitle and companion audit prompt.</x:v>
      </x:c>
      <x:c r="D84" s="18" t="str">
        <x:v>Text</x:v>
      </x:c>
      <x:c r="E84" s="18" t="str">
        <x:v>Check time × requested URL</x:v>
      </x:c>
      <x:c r="F84" s="18" t="str">
        <x:v>Dimension / evidence; do not sum</x:v>
      </x:c>
      <x:c r="G84" s="18" t="str">
        <x:v>Blank numeric + explicit quality; never invented zero</x:v>
      </x:c>
    </x:row>
    <x:row r="85" ht="65" customHeight="1">
      <x:c r="A85" s="18" t="str">
        <x:v>08_Crawl_History</x:v>
      </x:c>
      <x:c r="B85" s="18" t="str">
        <x:v>final_url</x:v>
      </x:c>
      <x:c r="C85" s="18" t="str">
        <x:v>Final url; see sheet subtitle and companion audit prompt.</x:v>
      </x:c>
      <x:c r="D85" s="18" t="str">
        <x:v>Text</x:v>
      </x:c>
      <x:c r="E85" s="18" t="str">
        <x:v>Check time × requested URL</x:v>
      </x:c>
      <x:c r="F85" s="18" t="str">
        <x:v>Dimension / evidence; do not sum</x:v>
      </x:c>
      <x:c r="G85" s="18" t="str">
        <x:v>Blank numeric + explicit quality; never invented zero</x:v>
      </x:c>
    </x:row>
    <x:row r="86" ht="65" customHeight="1">
      <x:c r="A86" s="18" t="str">
        <x:v>08_Crawl_History</x:v>
      </x:c>
      <x:c r="B86" s="18" t="str">
        <x:v>http_status</x:v>
      </x:c>
      <x:c r="C86" s="18" t="str">
        <x:v>Http status; see sheet subtitle and companion audit prompt.</x:v>
      </x:c>
      <x:c r="D86" s="18" t="str">
        <x:v>Text</x:v>
      </x:c>
      <x:c r="E86" s="18" t="str">
        <x:v>Check time × requested URL</x:v>
      </x:c>
      <x:c r="F86" s="18" t="str">
        <x:v>Dimension / evidence; do not sum</x:v>
      </x:c>
      <x:c r="G86" s="18" t="str">
        <x:v>Blank numeric + explicit quality; never invented zero</x:v>
      </x:c>
    </x:row>
    <x:row r="87" ht="65" customHeight="1">
      <x:c r="A87" s="18" t="str">
        <x:v>08_Crawl_History</x:v>
      </x:c>
      <x:c r="B87" s="18" t="str">
        <x:v>redirect_hops</x:v>
      </x:c>
      <x:c r="C87" s="18" t="str">
        <x:v>Redirect hops; see sheet subtitle and companion audit prompt.</x:v>
      </x:c>
      <x:c r="D87" s="18" t="str">
        <x:v>Text</x:v>
      </x:c>
      <x:c r="E87" s="18" t="str">
        <x:v>Check time × requested URL</x:v>
      </x:c>
      <x:c r="F87" s="18" t="str">
        <x:v>Dimension / evidence; do not sum</x:v>
      </x:c>
      <x:c r="G87" s="18" t="str">
        <x:v>Blank numeric + explicit quality; never invented zero</x:v>
      </x:c>
    </x:row>
    <x:row r="88" ht="65" customHeight="1">
      <x:c r="A88" s="18" t="str">
        <x:v>08_Crawl_History</x:v>
      </x:c>
      <x:c r="B88" s="18" t="str">
        <x:v>title</x:v>
      </x:c>
      <x:c r="C88" s="18" t="str">
        <x:v>Title; see sheet subtitle and companion audit prompt.</x:v>
      </x:c>
      <x:c r="D88" s="18" t="str">
        <x:v>Text</x:v>
      </x:c>
      <x:c r="E88" s="18" t="str">
        <x:v>Check time × requested URL</x:v>
      </x:c>
      <x:c r="F88" s="18" t="str">
        <x:v>Dimension / evidence; do not sum</x:v>
      </x:c>
      <x:c r="G88" s="18" t="str">
        <x:v>Blank numeric + explicit quality; never invented zero</x:v>
      </x:c>
    </x:row>
    <x:row r="89" ht="65" customHeight="1">
      <x:c r="A89" s="18" t="str">
        <x:v>08_Crawl_History</x:v>
      </x:c>
      <x:c r="B89" s="18" t="str">
        <x:v>meta_description</x:v>
      </x:c>
      <x:c r="C89" s="18" t="str">
        <x:v>Meta description; see sheet subtitle and companion audit prompt.</x:v>
      </x:c>
      <x:c r="D89" s="18" t="str">
        <x:v>Text</x:v>
      </x:c>
      <x:c r="E89" s="18" t="str">
        <x:v>Check time × requested URL</x:v>
      </x:c>
      <x:c r="F89" s="18" t="str">
        <x:v>Dimension / evidence; do not sum</x:v>
      </x:c>
      <x:c r="G89" s="18" t="str">
        <x:v>Blank numeric + explicit quality; never invented zero</x:v>
      </x:c>
    </x:row>
    <x:row r="90" ht="65" customHeight="1">
      <x:c r="A90" s="18" t="str">
        <x:v>08_Crawl_History</x:v>
      </x:c>
      <x:c r="B90" s="18" t="str">
        <x:v>h1</x:v>
      </x:c>
      <x:c r="C90" s="18" t="str">
        <x:v>H1; see sheet subtitle and companion audit prompt.</x:v>
      </x:c>
      <x:c r="D90" s="18" t="str">
        <x:v>Text</x:v>
      </x:c>
      <x:c r="E90" s="18" t="str">
        <x:v>Check time × requested URL</x:v>
      </x:c>
      <x:c r="F90" s="18" t="str">
        <x:v>Dimension / evidence; do not sum</x:v>
      </x:c>
      <x:c r="G90" s="18" t="str">
        <x:v>Blank numeric + explicit quality; never invented zero</x:v>
      </x:c>
    </x:row>
    <x:row r="91" ht="65" customHeight="1">
      <x:c r="A91" s="18" t="str">
        <x:v>08_Crawl_History</x:v>
      </x:c>
      <x:c r="B91" s="18" t="str">
        <x:v>html_lang</x:v>
      </x:c>
      <x:c r="C91" s="18" t="str">
        <x:v>Html lang; see sheet subtitle and companion audit prompt.</x:v>
      </x:c>
      <x:c r="D91" s="18" t="str">
        <x:v>Text</x:v>
      </x:c>
      <x:c r="E91" s="18" t="str">
        <x:v>Check time × requested URL</x:v>
      </x:c>
      <x:c r="F91" s="18" t="str">
        <x:v>Dimension / evidence; do not sum</x:v>
      </x:c>
      <x:c r="G91" s="18" t="str">
        <x:v>Blank numeric + explicit quality; never invented zero</x:v>
      </x:c>
    </x:row>
    <x:row r="92" ht="65" customHeight="1">
      <x:c r="A92" s="18" t="str">
        <x:v>08_Crawl_History</x:v>
      </x:c>
      <x:c r="B92" s="18" t="str">
        <x:v>canonical</x:v>
      </x:c>
      <x:c r="C92" s="18" t="str">
        <x:v>Canonical; see sheet subtitle and companion audit prompt.</x:v>
      </x:c>
      <x:c r="D92" s="18" t="str">
        <x:v>Text</x:v>
      </x:c>
      <x:c r="E92" s="18" t="str">
        <x:v>Check time × requested URL</x:v>
      </x:c>
      <x:c r="F92" s="18" t="str">
        <x:v>Dimension / evidence; do not sum</x:v>
      </x:c>
      <x:c r="G92" s="18" t="str">
        <x:v>Blank numeric + explicit quality; never invented zero</x:v>
      </x:c>
    </x:row>
    <x:row r="93" ht="65" customHeight="1">
      <x:c r="A93" s="18" t="str">
        <x:v>08_Crawl_History</x:v>
      </x:c>
      <x:c r="B93" s="18" t="str">
        <x:v>meta_robots</x:v>
      </x:c>
      <x:c r="C93" s="18" t="str">
        <x:v>Meta robots; see sheet subtitle and companion audit prompt.</x:v>
      </x:c>
      <x:c r="D93" s="18" t="str">
        <x:v>Text</x:v>
      </x:c>
      <x:c r="E93" s="18" t="str">
        <x:v>Check time × requested URL</x:v>
      </x:c>
      <x:c r="F93" s="18" t="str">
        <x:v>Dimension / evidence; do not sum</x:v>
      </x:c>
      <x:c r="G93" s="18" t="str">
        <x:v>Blank numeric + explicit quality; never invented zero</x:v>
      </x:c>
    </x:row>
    <x:row r="94" ht="65" customHeight="1">
      <x:c r="A94" s="18" t="str">
        <x:v>08_Crawl_History</x:v>
      </x:c>
      <x:c r="B94" s="18" t="str">
        <x:v>x_robots_tag</x:v>
      </x:c>
      <x:c r="C94" s="18" t="str">
        <x:v>X robots tag; see sheet subtitle and companion audit prompt.</x:v>
      </x:c>
      <x:c r="D94" s="18" t="str">
        <x:v>Text</x:v>
      </x:c>
      <x:c r="E94" s="18" t="str">
        <x:v>Check time × requested URL</x:v>
      </x:c>
      <x:c r="F94" s="18" t="str">
        <x:v>Dimension / evidence; do not sum</x:v>
      </x:c>
      <x:c r="G94" s="18" t="str">
        <x:v>Blank numeric + explicit quality; never invented zero</x:v>
      </x:c>
    </x:row>
    <x:row r="95" ht="65" customHeight="1">
      <x:c r="A95" s="18" t="str">
        <x:v>08_Crawl_History</x:v>
      </x:c>
      <x:c r="B95" s="18" t="str">
        <x:v>in_sitemap</x:v>
      </x:c>
      <x:c r="C95" s="18" t="str">
        <x:v>In sitemap; see sheet subtitle and companion audit prompt.</x:v>
      </x:c>
      <x:c r="D95" s="18" t="str">
        <x:v>Text</x:v>
      </x:c>
      <x:c r="E95" s="18" t="str">
        <x:v>Check time × requested URL</x:v>
      </x:c>
      <x:c r="F95" s="18" t="str">
        <x:v>Dimension / evidence; do not sum</x:v>
      </x:c>
      <x:c r="G95" s="18" t="str">
        <x:v>Blank numeric + explicit quality; never invented zero</x:v>
      </x:c>
    </x:row>
    <x:row r="96" ht="65" customHeight="1">
      <x:c r="A96" s="18" t="str">
        <x:v>08_Crawl_History</x:v>
      </x:c>
      <x:c r="B96" s="18" t="str">
        <x:v>indexability</x:v>
      </x:c>
      <x:c r="C96" s="18" t="str">
        <x:v>Indexability; see sheet subtitle and companion audit prompt.</x:v>
      </x:c>
      <x:c r="D96" s="18" t="str">
        <x:v>Text</x:v>
      </x:c>
      <x:c r="E96" s="18" t="str">
        <x:v>Check time × requested URL</x:v>
      </x:c>
      <x:c r="F96" s="18" t="str">
        <x:v>Dimension / evidence; do not sum</x:v>
      </x:c>
      <x:c r="G96" s="18" t="str">
        <x:v>Blank numeric + explicit quality; never invented zero</x:v>
      </x:c>
    </x:row>
    <x:row r="97" ht="65" customHeight="1">
      <x:c r="A97" s="18" t="str">
        <x:v>08_Crawl_History</x:v>
      </x:c>
      <x:c r="B97" s="18" t="str">
        <x:v>rendering_check</x:v>
      </x:c>
      <x:c r="C97" s="18" t="str">
        <x:v>Rendering check; see sheet subtitle and companion audit prompt.</x:v>
      </x:c>
      <x:c r="D97" s="18" t="str">
        <x:v>Text</x:v>
      </x:c>
      <x:c r="E97" s="18" t="str">
        <x:v>Check time × requested URL</x:v>
      </x:c>
      <x:c r="F97" s="18" t="str">
        <x:v>Dimension / evidence; do not sum</x:v>
      </x:c>
      <x:c r="G97" s="18" t="str">
        <x:v>Blank numeric + explicit quality; never invented zero</x:v>
      </x:c>
    </x:row>
    <x:row r="98" ht="65" customHeight="1">
      <x:c r="A98" s="18" t="str">
        <x:v>08_Crawl_History</x:v>
      </x:c>
      <x:c r="B98" s="18" t="str">
        <x:v>source_revision</x:v>
      </x:c>
      <x:c r="C98" s="18" t="str">
        <x:v>Source revision; see sheet subtitle and companion audit prompt.</x:v>
      </x:c>
      <x:c r="D98" s="18" t="str">
        <x:v>Text</x:v>
      </x:c>
      <x:c r="E98" s="18" t="str">
        <x:v>Check time × requested URL</x:v>
      </x:c>
      <x:c r="F98" s="18" t="str">
        <x:v>Dimension / evidence; do not sum</x:v>
      </x:c>
      <x:c r="G98" s="18" t="str">
        <x:v>Blank numeric + explicit quality; never invented zero</x:v>
      </x:c>
    </x:row>
    <x:row r="99" ht="65" customHeight="1">
      <x:c r="A99" s="18" t="str">
        <x:v>08_Crawl_History</x:v>
      </x:c>
      <x:c r="B99" s="18" t="str">
        <x:v>evidence</x:v>
      </x:c>
      <x:c r="C99" s="18" t="str">
        <x:v>Evidence; see sheet subtitle and companion audit prompt.</x:v>
      </x:c>
      <x:c r="D99" s="18" t="str">
        <x:v>Text</x:v>
      </x:c>
      <x:c r="E99" s="18" t="str">
        <x:v>Check time × requested URL</x:v>
      </x:c>
      <x:c r="F99" s="18" t="str">
        <x:v>Dimension / evidence; do not sum</x:v>
      </x:c>
      <x:c r="G99" s="18" t="str">
        <x:v>Blank numeric + explicit quality; never invented zero</x:v>
      </x:c>
    </x:row>
    <x:row r="100" ht="65" customHeight="1">
      <x:c r="A100" s="18" t="str">
        <x:v>09_GSC_Page_Daily</x:v>
      </x:c>
      <x:c r="B100" s="18" t="str">
        <x:v>date</x:v>
      </x:c>
      <x:c r="C100" s="18" t="str">
        <x:v>Source-local reporting date. GSC and GA4 may use different timezones.</x:v>
      </x:c>
      <x:c r="D100" s="18" t="str">
        <x:v>Date / timestamp</x:v>
      </x:c>
      <x:c r="E100" s="18" t="str">
        <x:v>Date × URL × searcher country × device × search type</x:v>
      </x:c>
      <x:c r="F100" s="18" t="str">
        <x:v>Dimension / evidence; do not sum</x:v>
      </x:c>
      <x:c r="G100" s="18" t="str">
        <x:v>Blank numeric + explicit quality; never invented zero</x:v>
      </x:c>
    </x:row>
    <x:row r="101" ht="65" customHeight="1">
      <x:c r="A101" s="18" t="str">
        <x:v>09_GSC_Page_Daily</x:v>
      </x:c>
      <x:c r="B101" s="18" t="str">
        <x:v>url_id</x:v>
      </x:c>
      <x:c r="C101" s="18" t="str">
        <x:v>Stable URL identity used to join URL-level tables; maintain historical URL mapping.</x:v>
      </x:c>
      <x:c r="D101" s="18" t="str">
        <x:v>Text</x:v>
      </x:c>
      <x:c r="E101" s="18" t="str">
        <x:v>Date × URL × searcher country × device × search type</x:v>
      </x:c>
      <x:c r="F101" s="18" t="str">
        <x:v>Dimension / evidence; do not sum</x:v>
      </x:c>
      <x:c r="G101" s="18" t="str">
        <x:v>Blank numeric + explicit quality; never invented zero</x:v>
      </x:c>
    </x:row>
    <x:row r="102" ht="65" customHeight="1">
      <x:c r="A102" s="18" t="str">
        <x:v>09_GSC_Page_Daily</x:v>
      </x:c>
      <x:c r="B102" s="18" t="str">
        <x:v>normalized_url</x:v>
      </x:c>
      <x:c r="C102" s="18" t="str">
        <x:v>Normalized public URL according to a documented, reversible mapping; preserve meaningful parameters.</x:v>
      </x:c>
      <x:c r="D102" s="18" t="str">
        <x:v>Text</x:v>
      </x:c>
      <x:c r="E102" s="18" t="str">
        <x:v>Date × URL × searcher country × device × search type</x:v>
      </x:c>
      <x:c r="F102" s="18" t="str">
        <x:v>Dimension / evidence; do not sum</x:v>
      </x:c>
      <x:c r="G102" s="18" t="str">
        <x:v>Blank numeric + explicit quality; never invented zero</x:v>
      </x:c>
    </x:row>
    <x:row r="103" ht="65" customHeight="1">
      <x:c r="A103" s="18" t="str">
        <x:v>09_GSC_Page_Daily</x:v>
      </x:c>
      <x:c r="B103" s="18" t="str">
        <x:v>target_country</x:v>
      </x:c>
      <x:c r="C103" s="18" t="str">
        <x:v>Business/service market targeted by the page, derived from verified routing or content ownership.</x:v>
      </x:c>
      <x:c r="D103" s="18" t="str">
        <x:v>Text</x:v>
      </x:c>
      <x:c r="E103" s="18" t="str">
        <x:v>Date × URL × searcher country × device × search type</x:v>
      </x:c>
      <x:c r="F103" s="18" t="str">
        <x:v>Dimension / evidence; do not sum</x:v>
      </x:c>
      <x:c r="G103" s="18" t="str">
        <x:v>Blank numeric + explicit quality; never invented zero</x:v>
      </x:c>
    </x:row>
    <x:row r="104" ht="65" customHeight="1">
      <x:c r="A104" s="18" t="str">
        <x:v>09_GSC_Page_Daily</x:v>
      </x:c>
      <x:c r="B104" s="18" t="str">
        <x:v>language</x:v>
      </x:c>
      <x:c r="C104" s="18" t="str">
        <x:v>Page content language, not visitor browser language; use with target_country.</x:v>
      </x:c>
      <x:c r="D104" s="18" t="str">
        <x:v>Text</x:v>
      </x:c>
      <x:c r="E104" s="18" t="str">
        <x:v>Date × URL × searcher country × device × search type</x:v>
      </x:c>
      <x:c r="F104" s="18" t="str">
        <x:v>Dimension / evidence; do not sum</x:v>
      </x:c>
      <x:c r="G104" s="18" t="str">
        <x:v>Blank numeric + explicit quality; never invented zero</x:v>
      </x:c>
    </x:row>
    <x:row r="105" ht="65" customHeight="1">
      <x:c r="A105" s="18" t="str">
        <x:v>09_GSC_Page_Daily</x:v>
      </x:c>
      <x:c r="B105" s="18" t="str">
        <x:v>searcher_country</x:v>
      </x:c>
      <x:c r="C105" s="18" t="str">
        <x:v>Country dimension supplied by GSC for the searcher; not the page's intended market.</x:v>
      </x:c>
      <x:c r="D105" s="18" t="str">
        <x:v>Text</x:v>
      </x:c>
      <x:c r="E105" s="18" t="str">
        <x:v>Date × URL × searcher country × device × search type</x:v>
      </x:c>
      <x:c r="F105" s="18" t="str">
        <x:v>Dimension / evidence; do not sum</x:v>
      </x:c>
      <x:c r="G105" s="18" t="str">
        <x:v>Blank numeric + explicit quality; never invented zero</x:v>
      </x:c>
    </x:row>
    <x:row r="106" ht="65" customHeight="1">
      <x:c r="A106" s="18" t="str">
        <x:v>09_GSC_Page_Daily</x:v>
      </x:c>
      <x:c r="B106" s="18" t="str">
        <x:v>device</x:v>
      </x:c>
      <x:c r="C106" s="18" t="str">
        <x:v>Device; see sheet subtitle and companion audit prompt.</x:v>
      </x:c>
      <x:c r="D106" s="18" t="str">
        <x:v>Text</x:v>
      </x:c>
      <x:c r="E106" s="18" t="str">
        <x:v>Date × URL × searcher country × device × search type</x:v>
      </x:c>
      <x:c r="F106" s="18" t="str">
        <x:v>Dimension / evidence; do not sum</x:v>
      </x:c>
      <x:c r="G106" s="18" t="str">
        <x:v>Blank numeric + explicit quality; never invented zero</x:v>
      </x:c>
    </x:row>
    <x:row r="107" ht="65" customHeight="1">
      <x:c r="A107" s="18" t="str">
        <x:v>09_GSC_Page_Daily</x:v>
      </x:c>
      <x:c r="B107" s="18" t="str">
        <x:v>search_type</x:v>
      </x:c>
      <x:c r="C107" s="18" t="str">
        <x:v>Search type; see sheet subtitle and companion audit prompt.</x:v>
      </x:c>
      <x:c r="D107" s="18" t="str">
        <x:v>Text</x:v>
      </x:c>
      <x:c r="E107" s="18" t="str">
        <x:v>Date × URL × searcher country × device × search type</x:v>
      </x:c>
      <x:c r="F107" s="18" t="str">
        <x:v>Dimension / evidence; do not sum</x:v>
      </x:c>
      <x:c r="G107" s="18" t="str">
        <x:v>Blank numeric + explicit quality; never invented zero</x:v>
      </x:c>
    </x:row>
    <x:row r="108" ht="65" customHeight="1">
      <x:c r="A108" s="18" t="str">
        <x:v>09_GSC_Page_Daily</x:v>
      </x:c>
      <x:c r="B108" s="18" t="str">
        <x:v>clicks</x:v>
      </x:c>
      <x:c r="C108" s="18" t="str">
        <x:v>Observed GSC clicks for this exact row grain; never add page/query/property views together.</x:v>
      </x:c>
      <x:c r="D108" s="18" t="str">
        <x:v>Number (when applicable)</x:v>
      </x:c>
      <x:c r="E108" s="18" t="str">
        <x:v>Date × URL × searcher country × device × search type</x:v>
      </x:c>
      <x:c r="F108" s="18" t="str">
        <x:v>Sum only compatible, deduplicated rows and non-overlapping windows</x:v>
      </x:c>
      <x:c r="G108" s="18" t="str">
        <x:v>Blank numeric + explicit quality; never invented zero</x:v>
      </x:c>
    </x:row>
    <x:row r="109" ht="65" customHeight="1">
      <x:c r="A109" s="18" t="str">
        <x:v>09_GSC_Page_Daily</x:v>
      </x:c>
      <x:c r="B109" s="18" t="str">
        <x:v>impressions</x:v>
      </x:c>
      <x:c r="C109" s="18" t="str">
        <x:v>Observed GSC impressions for this exact row grain.</x:v>
      </x:c>
      <x:c r="D109" s="18" t="str">
        <x:v>Number (when applicable)</x:v>
      </x:c>
      <x:c r="E109" s="18" t="str">
        <x:v>Date × URL × searcher country × device × search type</x:v>
      </x:c>
      <x:c r="F109" s="18" t="str">
        <x:v>Sum only compatible, deduplicated rows and non-overlapping windows</x:v>
      </x:c>
      <x:c r="G109" s="18" t="str">
        <x:v>Blank numeric + explicit quality; never invented zero</x:v>
      </x:c>
    </x:row>
    <x:row r="110" ht="65" customHeight="1">
      <x:c r="A110" s="18" t="str">
        <x:v>09_GSC_Page_Daily</x:v>
      </x:c>
      <x:c r="B110" s="18" t="str">
        <x:v>avg_position</x:v>
      </x:c>
      <x:c r="C110" s="18" t="str">
        <x:v>Source average position for this exact GSC row grain; not a stable target-keyword rank.</x:v>
      </x:c>
      <x:c r="D110" s="18" t="str">
        <x:v>Number (when applicable)</x:v>
      </x:c>
      <x:c r="E110" s="18" t="str">
        <x:v>Date × URL × searcher country × device × search type</x:v>
      </x:c>
      <x:c r="F110" s="18" t="str">
        <x:v>Impression-weight at the same grain; preserve source caveats</x:v>
      </x:c>
      <x:c r="G110" s="18" t="str">
        <x:v>Blank numeric + explicit quality; never invented zero</x:v>
      </x:c>
    </x:row>
    <x:row r="111" ht="65" customHeight="1">
      <x:c r="A111" s="18" t="str">
        <x:v>09_GSC_Page_Daily</x:v>
      </x:c>
      <x:c r="B111" s="18" t="str">
        <x:v>ctr</x:v>
      </x:c>
      <x:c r="C111" s="18" t="str">
        <x:v>Clicks divided by impressions. Recompute at the chosen grain; never average row CTRs.</x:v>
      </x:c>
      <x:c r="D111" s="18" t="str">
        <x:v>Number (when applicable)</x:v>
      </x:c>
      <x:c r="E111" s="18" t="str">
        <x:v>Date × URL × searcher country × device × search type</x:v>
      </x:c>
      <x:c r="F111" s="18" t="str">
        <x:v>Ratio of aggregate numerator / denominator</x:v>
      </x:c>
      <x:c r="G111" s="18" t="str">
        <x:v>Blank numeric + explicit quality; never invented zero</x:v>
      </x:c>
    </x:row>
    <x:row r="112" ht="65" customHeight="1">
      <x:c r="A112" s="18" t="str">
        <x:v>09_GSC_Page_Daily</x:v>
      </x:c>
      <x:c r="B112" s="18" t="str">
        <x:v>row_key</x:v>
      </x:c>
      <x:c r="C112" s="18" t="str">
        <x:v>Stable compound key for idempotent upserts. Keep the underlying dimensions too.</x:v>
      </x:c>
      <x:c r="D112" s="18" t="str">
        <x:v>Text</x:v>
      </x:c>
      <x:c r="E112" s="18" t="str">
        <x:v>Date × URL × searcher country × device × search type</x:v>
      </x:c>
      <x:c r="F112" s="18" t="str">
        <x:v>Dimension / evidence; do not sum</x:v>
      </x:c>
      <x:c r="G112" s="18" t="str">
        <x:v>Blank numeric + explicit quality; never invented zero</x:v>
      </x:c>
    </x:row>
    <x:row r="113" ht="65" customHeight="1">
      <x:c r="A113" s="18" t="str">
        <x:v>09_GSC_Page_Daily</x:v>
      </x:c>
      <x:c r="B113" s="18" t="str">
        <x:v>refresh_id</x:v>
      </x:c>
      <x:c r="C113" s="18" t="str">
        <x:v>Join to Refresh Log and archived source response/request manifest.</x:v>
      </x:c>
      <x:c r="D113" s="18" t="str">
        <x:v>Text</x:v>
      </x:c>
      <x:c r="E113" s="18" t="str">
        <x:v>Date × URL × searcher country × device × search type</x:v>
      </x:c>
      <x:c r="F113" s="18" t="str">
        <x:v>Dimension / evidence; do not sum</x:v>
      </x:c>
      <x:c r="G113" s="18" t="str">
        <x:v>Blank numeric + explicit quality; never invented zero</x:v>
      </x:c>
    </x:row>
    <x:row r="114" ht="65" customHeight="1">
      <x:c r="A114" s="18" t="str">
        <x:v>09_GSC_Page_Daily</x:v>
      </x:c>
      <x:c r="B114" s="18" t="str">
        <x:v>data_state</x:v>
      </x:c>
      <x:c r="C114" s="18" t="str">
        <x:v>GSC source status such as final or provisional; monthly calculations include final only.</x:v>
      </x:c>
      <x:c r="D114" s="18" t="str">
        <x:v>Text</x:v>
      </x:c>
      <x:c r="E114" s="18" t="str">
        <x:v>Date × URL × searcher country × device × search type</x:v>
      </x:c>
      <x:c r="F114" s="18" t="str">
        <x:v>Dimension / evidence; do not sum</x:v>
      </x:c>
      <x:c r="G114" s="18" t="str">
        <x:v>Blank numeric + explicit quality; never invented zero</x:v>
      </x:c>
    </x:row>
    <x:row r="115" ht="65" customHeight="1">
      <x:c r="A115" s="18" t="str">
        <x:v>09_GSC_Page_Daily</x:v>
      </x:c>
      <x:c r="B115" s="18" t="str">
        <x:v>source_timezone</x:v>
      </x:c>
      <x:c r="C115" s="18" t="str">
        <x:v>Source timezone; see sheet subtitle and companion audit prompt.</x:v>
      </x:c>
      <x:c r="D115" s="18" t="str">
        <x:v>Text</x:v>
      </x:c>
      <x:c r="E115" s="18" t="str">
        <x:v>Date × URL × searcher country × device × search type</x:v>
      </x:c>
      <x:c r="F115" s="18" t="str">
        <x:v>Dimension / evidence; do not sum</x:v>
      </x:c>
      <x:c r="G115" s="18" t="str">
        <x:v>Blank numeric + explicit quality; never invented zero</x:v>
      </x:c>
    </x:row>
    <x:row r="116" ht="65" customHeight="1">
      <x:c r="A116" s="18" t="str">
        <x:v>09_GSC_Page_Daily</x:v>
      </x:c>
      <x:c r="B116" s="18" t="str">
        <x:v>data_quality</x:v>
      </x:c>
      <x:c r="C116" s="18" t="str">
        <x:v>Measured, missing, incomplete, thresholded or other clearly explained status.</x:v>
      </x:c>
      <x:c r="D116" s="18" t="str">
        <x:v>Text</x:v>
      </x:c>
      <x:c r="E116" s="18" t="str">
        <x:v>Date × URL × searcher country × device × search type</x:v>
      </x:c>
      <x:c r="F116" s="18" t="str">
        <x:v>Dimension / evidence; do not sum</x:v>
      </x:c>
      <x:c r="G116" s="18" t="str">
        <x:v>Blank numeric + explicit quality; never invented zero</x:v>
      </x:c>
    </x:row>
    <x:row r="117" ht="65" customHeight="1">
      <x:c r="A117" s="18" t="str">
        <x:v>09_GSC_Page_Daily</x:v>
      </x:c>
      <x:c r="B117" s="18" t="str">
        <x:v>source</x:v>
      </x:c>
      <x:c r="C117" s="18" t="str">
        <x:v>Source; see sheet subtitle and companion audit prompt.</x:v>
      </x:c>
      <x:c r="D117" s="18" t="str">
        <x:v>Text</x:v>
      </x:c>
      <x:c r="E117" s="18" t="str">
        <x:v>Date × URL × searcher country × device × search type</x:v>
      </x:c>
      <x:c r="F117" s="18" t="str">
        <x:v>Dimension / evidence; do not sum</x:v>
      </x:c>
      <x:c r="G117" s="18" t="str">
        <x:v>Blank numeric + explicit quality; never invented zero</x:v>
      </x:c>
    </x:row>
    <x:row r="118" ht="65" customHeight="1">
      <x:c r="A118" s="18" t="str">
        <x:v>10_GSC_Query_Daily</x:v>
      </x:c>
      <x:c r="B118" s="18" t="str">
        <x:v>date</x:v>
      </x:c>
      <x:c r="C118" s="18" t="str">
        <x:v>Source-local reporting date. GSC and GA4 may use different timezones.</x:v>
      </x:c>
      <x:c r="D118" s="18" t="str">
        <x:v>Date / timestamp</x:v>
      </x:c>
      <x:c r="E118" s="18" t="str">
        <x:v>Date × query × URL × searcher country × device × search type</x:v>
      </x:c>
      <x:c r="F118" s="18" t="str">
        <x:v>Dimension / evidence; do not sum</x:v>
      </x:c>
      <x:c r="G118" s="18" t="str">
        <x:v>Blank numeric + explicit quality; never invented zero</x:v>
      </x:c>
    </x:row>
    <x:row r="119" ht="65" customHeight="1">
      <x:c r="A119" s="18" t="str">
        <x:v>10_GSC_Query_Daily</x:v>
      </x:c>
      <x:c r="B119" s="18" t="str">
        <x:v>query</x:v>
      </x:c>
      <x:c r="C119" s="18" t="str">
        <x:v>Query; see sheet subtitle and companion audit prompt.</x:v>
      </x:c>
      <x:c r="D119" s="18" t="str">
        <x:v>Text</x:v>
      </x:c>
      <x:c r="E119" s="18" t="str">
        <x:v>Date × query × URL × searcher country × device × search type</x:v>
      </x:c>
      <x:c r="F119" s="18" t="str">
        <x:v>Dimension / evidence; do not sum</x:v>
      </x:c>
      <x:c r="G119" s="18" t="str">
        <x:v>Blank numeric + explicit quality; never invented zero</x:v>
      </x:c>
    </x:row>
    <x:row r="120" ht="65" customHeight="1">
      <x:c r="A120" s="18" t="str">
        <x:v>10_GSC_Query_Daily</x:v>
      </x:c>
      <x:c r="B120" s="18" t="str">
        <x:v>url_id</x:v>
      </x:c>
      <x:c r="C120" s="18" t="str">
        <x:v>Stable URL identity used to join URL-level tables; maintain historical URL mapping.</x:v>
      </x:c>
      <x:c r="D120" s="18" t="str">
        <x:v>Text</x:v>
      </x:c>
      <x:c r="E120" s="18" t="str">
        <x:v>Date × query × URL × searcher country × device × search type</x:v>
      </x:c>
      <x:c r="F120" s="18" t="str">
        <x:v>Dimension / evidence; do not sum</x:v>
      </x:c>
      <x:c r="G120" s="18" t="str">
        <x:v>Blank numeric + explicit quality; never invented zero</x:v>
      </x:c>
    </x:row>
    <x:row r="121" ht="65" customHeight="1">
      <x:c r="A121" s="18" t="str">
        <x:v>10_GSC_Query_Daily</x:v>
      </x:c>
      <x:c r="B121" s="18" t="str">
        <x:v>normalized_url</x:v>
      </x:c>
      <x:c r="C121" s="18" t="str">
        <x:v>Normalized public URL according to a documented, reversible mapping; preserve meaningful parameters.</x:v>
      </x:c>
      <x:c r="D121" s="18" t="str">
        <x:v>Text</x:v>
      </x:c>
      <x:c r="E121" s="18" t="str">
        <x:v>Date × query × URL × searcher country × device × search type</x:v>
      </x:c>
      <x:c r="F121" s="18" t="str">
        <x:v>Dimension / evidence; do not sum</x:v>
      </x:c>
      <x:c r="G121" s="18" t="str">
        <x:v>Blank numeric + explicit quality; never invented zero</x:v>
      </x:c>
    </x:row>
    <x:row r="122" ht="65" customHeight="1">
      <x:c r="A122" s="18" t="str">
        <x:v>10_GSC_Query_Daily</x:v>
      </x:c>
      <x:c r="B122" s="18" t="str">
        <x:v>target_country</x:v>
      </x:c>
      <x:c r="C122" s="18" t="str">
        <x:v>Business/service market targeted by the page, derived from verified routing or content ownership.</x:v>
      </x:c>
      <x:c r="D122" s="18" t="str">
        <x:v>Text</x:v>
      </x:c>
      <x:c r="E122" s="18" t="str">
        <x:v>Date × query × URL × searcher country × device × search type</x:v>
      </x:c>
      <x:c r="F122" s="18" t="str">
        <x:v>Dimension / evidence; do not sum</x:v>
      </x:c>
      <x:c r="G122" s="18" t="str">
        <x:v>Blank numeric + explicit quality; never invented zero</x:v>
      </x:c>
    </x:row>
    <x:row r="123" ht="65" customHeight="1">
      <x:c r="A123" s="18" t="str">
        <x:v>10_GSC_Query_Daily</x:v>
      </x:c>
      <x:c r="B123" s="18" t="str">
        <x:v>language</x:v>
      </x:c>
      <x:c r="C123" s="18" t="str">
        <x:v>Page content language, not visitor browser language; use with target_country.</x:v>
      </x:c>
      <x:c r="D123" s="18" t="str">
        <x:v>Text</x:v>
      </x:c>
      <x:c r="E123" s="18" t="str">
        <x:v>Date × query × URL × searcher country × device × search type</x:v>
      </x:c>
      <x:c r="F123" s="18" t="str">
        <x:v>Dimension / evidence; do not sum</x:v>
      </x:c>
      <x:c r="G123" s="18" t="str">
        <x:v>Blank numeric + explicit quality; never invented zero</x:v>
      </x:c>
    </x:row>
    <x:row r="124" ht="65" customHeight="1">
      <x:c r="A124" s="18" t="str">
        <x:v>10_GSC_Query_Daily</x:v>
      </x:c>
      <x:c r="B124" s="18" t="str">
        <x:v>searcher_country</x:v>
      </x:c>
      <x:c r="C124" s="18" t="str">
        <x:v>Country dimension supplied by GSC for the searcher; not the page's intended market.</x:v>
      </x:c>
      <x:c r="D124" s="18" t="str">
        <x:v>Text</x:v>
      </x:c>
      <x:c r="E124" s="18" t="str">
        <x:v>Date × query × URL × searcher country × device × search type</x:v>
      </x:c>
      <x:c r="F124" s="18" t="str">
        <x:v>Dimension / evidence; do not sum</x:v>
      </x:c>
      <x:c r="G124" s="18" t="str">
        <x:v>Blank numeric + explicit quality; never invented zero</x:v>
      </x:c>
    </x:row>
    <x:row r="125" ht="65" customHeight="1">
      <x:c r="A125" s="18" t="str">
        <x:v>10_GSC_Query_Daily</x:v>
      </x:c>
      <x:c r="B125" s="18" t="str">
        <x:v>device</x:v>
      </x:c>
      <x:c r="C125" s="18" t="str">
        <x:v>Device; see sheet subtitle and companion audit prompt.</x:v>
      </x:c>
      <x:c r="D125" s="18" t="str">
        <x:v>Text</x:v>
      </x:c>
      <x:c r="E125" s="18" t="str">
        <x:v>Date × query × URL × searcher country × device × search type</x:v>
      </x:c>
      <x:c r="F125" s="18" t="str">
        <x:v>Dimension / evidence; do not sum</x:v>
      </x:c>
      <x:c r="G125" s="18" t="str">
        <x:v>Blank numeric + explicit quality; never invented zero</x:v>
      </x:c>
    </x:row>
    <x:row r="126" ht="65" customHeight="1">
      <x:c r="A126" s="18" t="str">
        <x:v>10_GSC_Query_Daily</x:v>
      </x:c>
      <x:c r="B126" s="18" t="str">
        <x:v>search_type</x:v>
      </x:c>
      <x:c r="C126" s="18" t="str">
        <x:v>Search type; see sheet subtitle and companion audit prompt.</x:v>
      </x:c>
      <x:c r="D126" s="18" t="str">
        <x:v>Text</x:v>
      </x:c>
      <x:c r="E126" s="18" t="str">
        <x:v>Date × query × URL × searcher country × device × search type</x:v>
      </x:c>
      <x:c r="F126" s="18" t="str">
        <x:v>Dimension / evidence; do not sum</x:v>
      </x:c>
      <x:c r="G126" s="18" t="str">
        <x:v>Blank numeric + explicit quality; never invented zero</x:v>
      </x:c>
    </x:row>
    <x:row r="127" ht="65" customHeight="1">
      <x:c r="A127" s="18" t="str">
        <x:v>10_GSC_Query_Daily</x:v>
      </x:c>
      <x:c r="B127" s="18" t="str">
        <x:v>clicks</x:v>
      </x:c>
      <x:c r="C127" s="18" t="str">
        <x:v>Observed GSC clicks for this exact row grain; never add page/query/property views together.</x:v>
      </x:c>
      <x:c r="D127" s="18" t="str">
        <x:v>Number (when applicable)</x:v>
      </x:c>
      <x:c r="E127" s="18" t="str">
        <x:v>Date × query × URL × searcher country × device × search type</x:v>
      </x:c>
      <x:c r="F127" s="18" t="str">
        <x:v>Sum only compatible, deduplicated rows and non-overlapping windows</x:v>
      </x:c>
      <x:c r="G127" s="18" t="str">
        <x:v>Blank numeric + explicit quality; never invented zero</x:v>
      </x:c>
    </x:row>
    <x:row r="128" ht="65" customHeight="1">
      <x:c r="A128" s="18" t="str">
        <x:v>10_GSC_Query_Daily</x:v>
      </x:c>
      <x:c r="B128" s="18" t="str">
        <x:v>impressions</x:v>
      </x:c>
      <x:c r="C128" s="18" t="str">
        <x:v>Observed GSC impressions for this exact row grain.</x:v>
      </x:c>
      <x:c r="D128" s="18" t="str">
        <x:v>Number (when applicable)</x:v>
      </x:c>
      <x:c r="E128" s="18" t="str">
        <x:v>Date × query × URL × searcher country × device × search type</x:v>
      </x:c>
      <x:c r="F128" s="18" t="str">
        <x:v>Sum only compatible, deduplicated rows and non-overlapping windows</x:v>
      </x:c>
      <x:c r="G128" s="18" t="str">
        <x:v>Blank numeric + explicit quality; never invented zero</x:v>
      </x:c>
    </x:row>
    <x:row r="129" ht="65" customHeight="1">
      <x:c r="A129" s="18" t="str">
        <x:v>10_GSC_Query_Daily</x:v>
      </x:c>
      <x:c r="B129" s="18" t="str">
        <x:v>avg_position</x:v>
      </x:c>
      <x:c r="C129" s="18" t="str">
        <x:v>Source average position for this exact GSC row grain; not a stable target-keyword rank.</x:v>
      </x:c>
      <x:c r="D129" s="18" t="str">
        <x:v>Number (when applicable)</x:v>
      </x:c>
      <x:c r="E129" s="18" t="str">
        <x:v>Date × query × URL × searcher country × device × search type</x:v>
      </x:c>
      <x:c r="F129" s="18" t="str">
        <x:v>Impression-weight at the same grain; preserve source caveats</x:v>
      </x:c>
      <x:c r="G129" s="18" t="str">
        <x:v>Blank numeric + explicit quality; never invented zero</x:v>
      </x:c>
    </x:row>
    <x:row r="130" ht="65" customHeight="1">
      <x:c r="A130" s="18" t="str">
        <x:v>10_GSC_Query_Daily</x:v>
      </x:c>
      <x:c r="B130" s="18" t="str">
        <x:v>ctr</x:v>
      </x:c>
      <x:c r="C130" s="18" t="str">
        <x:v>Clicks divided by impressions. Recompute at the chosen grain; never average row CTRs.</x:v>
      </x:c>
      <x:c r="D130" s="18" t="str">
        <x:v>Number (when applicable)</x:v>
      </x:c>
      <x:c r="E130" s="18" t="str">
        <x:v>Date × query × URL × searcher country × device × search type</x:v>
      </x:c>
      <x:c r="F130" s="18" t="str">
        <x:v>Ratio of aggregate numerator / denominator</x:v>
      </x:c>
      <x:c r="G130" s="18" t="str">
        <x:v>Blank numeric + explicit quality; never invented zero</x:v>
      </x:c>
    </x:row>
    <x:row r="131" ht="65" customHeight="1">
      <x:c r="A131" s="18" t="str">
        <x:v>10_GSC_Query_Daily</x:v>
      </x:c>
      <x:c r="B131" s="18" t="str">
        <x:v>brand_class</x:v>
      </x:c>
      <x:c r="C131" s="18" t="str">
        <x:v>Brand class; see sheet subtitle and companion audit prompt.</x:v>
      </x:c>
      <x:c r="D131" s="18" t="str">
        <x:v>Text</x:v>
      </x:c>
      <x:c r="E131" s="18" t="str">
        <x:v>Date × query × URL × searcher country × device × search type</x:v>
      </x:c>
      <x:c r="F131" s="18" t="str">
        <x:v>Dimension / evidence; do not sum</x:v>
      </x:c>
      <x:c r="G131" s="18" t="str">
        <x:v>Blank numeric + explicit quality; never invented zero</x:v>
      </x:c>
    </x:row>
    <x:row r="132" ht="65" customHeight="1">
      <x:c r="A132" s="18" t="str">
        <x:v>10_GSC_Query_Daily</x:v>
      </x:c>
      <x:c r="B132" s="18" t="str">
        <x:v>taxonomy_version</x:v>
      </x:c>
      <x:c r="C132" s="18" t="str">
        <x:v>Taxonomy version; see sheet subtitle and companion audit prompt.</x:v>
      </x:c>
      <x:c r="D132" s="18" t="str">
        <x:v>Text</x:v>
      </x:c>
      <x:c r="E132" s="18" t="str">
        <x:v>Date × query × URL × searcher country × device × search type</x:v>
      </x:c>
      <x:c r="F132" s="18" t="str">
        <x:v>Dimension / evidence; do not sum</x:v>
      </x:c>
      <x:c r="G132" s="18" t="str">
        <x:v>Blank numeric + explicit quality; never invented zero</x:v>
      </x:c>
    </x:row>
    <x:row r="133" ht="65" customHeight="1">
      <x:c r="A133" s="18" t="str">
        <x:v>10_GSC_Query_Daily</x:v>
      </x:c>
      <x:c r="B133" s="18" t="str">
        <x:v>row_key</x:v>
      </x:c>
      <x:c r="C133" s="18" t="str">
        <x:v>Stable compound key for idempotent upserts. Keep the underlying dimensions too.</x:v>
      </x:c>
      <x:c r="D133" s="18" t="str">
        <x:v>Text</x:v>
      </x:c>
      <x:c r="E133" s="18" t="str">
        <x:v>Date × query × URL × searcher country × device × search type</x:v>
      </x:c>
      <x:c r="F133" s="18" t="str">
        <x:v>Dimension / evidence; do not sum</x:v>
      </x:c>
      <x:c r="G133" s="18" t="str">
        <x:v>Blank numeric + explicit quality; never invented zero</x:v>
      </x:c>
    </x:row>
    <x:row r="134" ht="65" customHeight="1">
      <x:c r="A134" s="18" t="str">
        <x:v>10_GSC_Query_Daily</x:v>
      </x:c>
      <x:c r="B134" s="18" t="str">
        <x:v>refresh_id</x:v>
      </x:c>
      <x:c r="C134" s="18" t="str">
        <x:v>Join to Refresh Log and archived source response/request manifest.</x:v>
      </x:c>
      <x:c r="D134" s="18" t="str">
        <x:v>Text</x:v>
      </x:c>
      <x:c r="E134" s="18" t="str">
        <x:v>Date × query × URL × searcher country × device × search type</x:v>
      </x:c>
      <x:c r="F134" s="18" t="str">
        <x:v>Dimension / evidence; do not sum</x:v>
      </x:c>
      <x:c r="G134" s="18" t="str">
        <x:v>Blank numeric + explicit quality; never invented zero</x:v>
      </x:c>
    </x:row>
    <x:row r="135" ht="65" customHeight="1">
      <x:c r="A135" s="18" t="str">
        <x:v>10_GSC_Query_Daily</x:v>
      </x:c>
      <x:c r="B135" s="18" t="str">
        <x:v>data_quality</x:v>
      </x:c>
      <x:c r="C135" s="18" t="str">
        <x:v>Measured, missing, incomplete, thresholded or other clearly explained status.</x:v>
      </x:c>
      <x:c r="D135" s="18" t="str">
        <x:v>Text</x:v>
      </x:c>
      <x:c r="E135" s="18" t="str">
        <x:v>Date × query × URL × searcher country × device × search type</x:v>
      </x:c>
      <x:c r="F135" s="18" t="str">
        <x:v>Dimension / evidence; do not sum</x:v>
      </x:c>
      <x:c r="G135" s="18" t="str">
        <x:v>Blank numeric + explicit quality; never invented zero</x:v>
      </x:c>
    </x:row>
    <x:row r="136" ht="65" customHeight="1">
      <x:c r="A136" s="18" t="str">
        <x:v>10_GSC_Query_Daily</x:v>
      </x:c>
      <x:c r="B136" s="18" t="str">
        <x:v>source</x:v>
      </x:c>
      <x:c r="C136" s="18" t="str">
        <x:v>Source; see sheet subtitle and companion audit prompt.</x:v>
      </x:c>
      <x:c r="D136" s="18" t="str">
        <x:v>Text</x:v>
      </x:c>
      <x:c r="E136" s="18" t="str">
        <x:v>Date × query × URL × searcher country × device × search type</x:v>
      </x:c>
      <x:c r="F136" s="18" t="str">
        <x:v>Dimension / evidence; do not sum</x:v>
      </x:c>
      <x:c r="G136" s="18" t="str">
        <x:v>Blank numeric + explicit quality; never invented zero</x:v>
      </x:c>
    </x:row>
    <x:row r="137" ht="65" customHeight="1">
      <x:c r="A137" s="18" t="str">
        <x:v>11_GA4_Landing_Daily</x:v>
      </x:c>
      <x:c r="B137" s="18" t="str">
        <x:v>date</x:v>
      </x:c>
      <x:c r="C137" s="18" t="str">
        <x:v>Source-local reporting date. GSC and GA4 may use different timezones.</x:v>
      </x:c>
      <x:c r="D137" s="18" t="str">
        <x:v>Date / timestamp</x:v>
      </x:c>
      <x:c r="E137" s="18" t="str">
        <x:v>Date × landing URL × visitor country × device × session source/medium × currency</x:v>
      </x:c>
      <x:c r="F137" s="18" t="str">
        <x:v>Dimension / evidence; do not sum</x:v>
      </x:c>
      <x:c r="G137" s="18" t="str">
        <x:v>Blank numeric + explicit quality; never invented zero</x:v>
      </x:c>
    </x:row>
    <x:row r="138" ht="65" customHeight="1">
      <x:c r="A138" s="18" t="str">
        <x:v>11_GA4_Landing_Daily</x:v>
      </x:c>
      <x:c r="B138" s="18" t="str">
        <x:v>url_id</x:v>
      </x:c>
      <x:c r="C138" s="18" t="str">
        <x:v>Stable URL identity used to join URL-level tables; maintain historical URL mapping.</x:v>
      </x:c>
      <x:c r="D138" s="18" t="str">
        <x:v>Text</x:v>
      </x:c>
      <x:c r="E138" s="18" t="str">
        <x:v>Date × landing URL × visitor country × device × session source/medium × currency</x:v>
      </x:c>
      <x:c r="F138" s="18" t="str">
        <x:v>Dimension / evidence; do not sum</x:v>
      </x:c>
      <x:c r="G138" s="18" t="str">
        <x:v>Blank numeric + explicit quality; never invented zero</x:v>
      </x:c>
    </x:row>
    <x:row r="139" ht="65" customHeight="1">
      <x:c r="A139" s="18" t="str">
        <x:v>11_GA4_Landing_Daily</x:v>
      </x:c>
      <x:c r="B139" s="18" t="str">
        <x:v>normalized_landing_url</x:v>
      </x:c>
      <x:c r="C139" s="18" t="str">
        <x:v>Normalized landing url; see sheet subtitle and companion audit prompt.</x:v>
      </x:c>
      <x:c r="D139" s="18" t="str">
        <x:v>Text</x:v>
      </x:c>
      <x:c r="E139" s="18" t="str">
        <x:v>Date × landing URL × visitor country × device × session source/medium × currency</x:v>
      </x:c>
      <x:c r="F139" s="18" t="str">
        <x:v>Dimension / evidence; do not sum</x:v>
      </x:c>
      <x:c r="G139" s="18" t="str">
        <x:v>Blank numeric + explicit quality; never invented zero</x:v>
      </x:c>
    </x:row>
    <x:row r="140" ht="65" customHeight="1">
      <x:c r="A140" s="18" t="str">
        <x:v>11_GA4_Landing_Daily</x:v>
      </x:c>
      <x:c r="B140" s="18" t="str">
        <x:v>target_country</x:v>
      </x:c>
      <x:c r="C140" s="18" t="str">
        <x:v>Business/service market targeted by the page, derived from verified routing or content ownership.</x:v>
      </x:c>
      <x:c r="D140" s="18" t="str">
        <x:v>Text</x:v>
      </x:c>
      <x:c r="E140" s="18" t="str">
        <x:v>Date × landing URL × visitor country × device × session source/medium × currency</x:v>
      </x:c>
      <x:c r="F140" s="18" t="str">
        <x:v>Dimension / evidence; do not sum</x:v>
      </x:c>
      <x:c r="G140" s="18" t="str">
        <x:v>Blank numeric + explicit quality; never invented zero</x:v>
      </x:c>
    </x:row>
    <x:row r="141" ht="65" customHeight="1">
      <x:c r="A141" s="18" t="str">
        <x:v>11_GA4_Landing_Daily</x:v>
      </x:c>
      <x:c r="B141" s="18" t="str">
        <x:v>language</x:v>
      </x:c>
      <x:c r="C141" s="18" t="str">
        <x:v>Page content language, not visitor browser language; use with target_country.</x:v>
      </x:c>
      <x:c r="D141" s="18" t="str">
        <x:v>Text</x:v>
      </x:c>
      <x:c r="E141" s="18" t="str">
        <x:v>Date × landing URL × visitor country × device × session source/medium × currency</x:v>
      </x:c>
      <x:c r="F141" s="18" t="str">
        <x:v>Dimension / evidence; do not sum</x:v>
      </x:c>
      <x:c r="G141" s="18" t="str">
        <x:v>Blank numeric + explicit quality; never invented zero</x:v>
      </x:c>
    </x:row>
    <x:row r="142" ht="65" customHeight="1">
      <x:c r="A142" s="18" t="str">
        <x:v>11_GA4_Landing_Daily</x:v>
      </x:c>
      <x:c r="B142" s="18" t="str">
        <x:v>visitor_country</x:v>
      </x:c>
      <x:c r="C142" s="18" t="str">
        <x:v>Country dimension supplied by GA4 for visitors; do not substitute target market.</x:v>
      </x:c>
      <x:c r="D142" s="18" t="str">
        <x:v>Text</x:v>
      </x:c>
      <x:c r="E142" s="18" t="str">
        <x:v>Date × landing URL × visitor country × device × session source/medium × currency</x:v>
      </x:c>
      <x:c r="F142" s="18" t="str">
        <x:v>Dimension / evidence; do not sum</x:v>
      </x:c>
      <x:c r="G142" s="18" t="str">
        <x:v>Blank numeric + explicit quality; never invented zero</x:v>
      </x:c>
    </x:row>
    <x:row r="143" ht="65" customHeight="1">
      <x:c r="A143" s="18" t="str">
        <x:v>11_GA4_Landing_Daily</x:v>
      </x:c>
      <x:c r="B143" s="18" t="str">
        <x:v>device</x:v>
      </x:c>
      <x:c r="C143" s="18" t="str">
        <x:v>Device; see sheet subtitle and companion audit prompt.</x:v>
      </x:c>
      <x:c r="D143" s="18" t="str">
        <x:v>Text</x:v>
      </x:c>
      <x:c r="E143" s="18" t="str">
        <x:v>Date × landing URL × visitor country × device × session source/medium × currency</x:v>
      </x:c>
      <x:c r="F143" s="18" t="str">
        <x:v>Dimension / evidence; do not sum</x:v>
      </x:c>
      <x:c r="G143" s="18" t="str">
        <x:v>Blank numeric + explicit quality; never invented zero</x:v>
      </x:c>
    </x:row>
    <x:row r="144" ht="65" customHeight="1">
      <x:c r="A144" s="18" t="str">
        <x:v>11_GA4_Landing_Daily</x:v>
      </x:c>
      <x:c r="B144" s="18" t="str">
        <x:v>session_source_medium</x:v>
      </x:c>
      <x:c r="C144" s="18" t="str">
        <x:v>Session source medium; see sheet subtitle and companion audit prompt.</x:v>
      </x:c>
      <x:c r="D144" s="18" t="str">
        <x:v>Text</x:v>
      </x:c>
      <x:c r="E144" s="18" t="str">
        <x:v>Date × landing URL × visitor country × device × session source/medium × currency</x:v>
      </x:c>
      <x:c r="F144" s="18" t="str">
        <x:v>Dimension / evidence; do not sum</x:v>
      </x:c>
      <x:c r="G144" s="18" t="str">
        <x:v>Blank numeric + explicit quality; never invented zero</x:v>
      </x:c>
    </x:row>
    <x:row r="145" ht="65" customHeight="1">
      <x:c r="A145" s="18" t="str">
        <x:v>11_GA4_Landing_Daily</x:v>
      </x:c>
      <x:c r="B145" s="18" t="str">
        <x:v>session_channel</x:v>
      </x:c>
      <x:c r="C145" s="18" t="str">
        <x:v>Session channel; see sheet subtitle and companion audit prompt.</x:v>
      </x:c>
      <x:c r="D145" s="18" t="str">
        <x:v>Text</x:v>
      </x:c>
      <x:c r="E145" s="18" t="str">
        <x:v>Date × landing URL × visitor country × device × session source/medium × currency</x:v>
      </x:c>
      <x:c r="F145" s="18" t="str">
        <x:v>Dimension / evidence; do not sum</x:v>
      </x:c>
      <x:c r="G145" s="18" t="str">
        <x:v>Blank numeric + explicit quality; never invented zero</x:v>
      </x:c>
    </x:row>
    <x:row r="146" ht="65" customHeight="1">
      <x:c r="A146" s="18" t="str">
        <x:v>11_GA4_Landing_Daily</x:v>
      </x:c>
      <x:c r="B146" s="18" t="str">
        <x:v>sessions</x:v>
      </x:c>
      <x:c r="C146" s="18" t="str">
        <x:v>GA4 session-scoped count; select Organic Search deliberately and preserve source/medium.</x:v>
      </x:c>
      <x:c r="D146" s="18" t="str">
        <x:v>Number (when applicable)</x:v>
      </x:c>
      <x:c r="E146" s="18" t="str">
        <x:v>Date × landing URL × visitor country × device × session source/medium × currency</x:v>
      </x:c>
      <x:c r="F146" s="18" t="str">
        <x:v>Sum only compatible, deduplicated rows and non-overlapping windows</x:v>
      </x:c>
      <x:c r="G146" s="18" t="str">
        <x:v>Blank numeric + explicit quality; never invented zero</x:v>
      </x:c>
    </x:row>
    <x:row r="147" ht="65" customHeight="1">
      <x:c r="A147" s="18" t="str">
        <x:v>11_GA4_Landing_Daily</x:v>
      </x:c>
      <x:c r="B147" s="18" t="str">
        <x:v>engaged_sessions</x:v>
      </x:c>
      <x:c r="C147" s="18" t="str">
        <x:v>GA4 engaged sessions at a compatible session/landing-page grain.</x:v>
      </x:c>
      <x:c r="D147" s="18" t="str">
        <x:v>Number (when applicable)</x:v>
      </x:c>
      <x:c r="E147" s="18" t="str">
        <x:v>Date × landing URL × visitor country × device × session source/medium × currency</x:v>
      </x:c>
      <x:c r="F147" s="18" t="str">
        <x:v>Sum only compatible, deduplicated rows and non-overlapping windows</x:v>
      </x:c>
      <x:c r="G147" s="18" t="str">
        <x:v>Blank numeric + explicit quality; never invented zero</x:v>
      </x:c>
    </x:row>
    <x:row r="148" ht="65" customHeight="1">
      <x:c r="A148" s="18" t="str">
        <x:v>11_GA4_Landing_Daily</x:v>
      </x:c>
      <x:c r="B148" s="18" t="str">
        <x:v>key_events</x:v>
      </x:c>
      <x:c r="C148" s="18" t="str">
        <x:v>Key-event count; not a count of converting sessions or confirmed clinical appointments.</x:v>
      </x:c>
      <x:c r="D148" s="18" t="str">
        <x:v>Number (when applicable)</x:v>
      </x:c>
      <x:c r="E148" s="18" t="str">
        <x:v>Date × landing URL × visitor country × device × session source/medium × currency</x:v>
      </x:c>
      <x:c r="F148" s="18" t="str">
        <x:v>Sum only compatible, deduplicated rows and non-overlapping windows</x:v>
      </x:c>
      <x:c r="G148" s="18" t="str">
        <x:v>Blank numeric + explicit quality; never invented zero</x:v>
      </x:c>
    </x:row>
    <x:row r="149" ht="65" customHeight="1">
      <x:c r="A149" s="18" t="str">
        <x:v>11_GA4_Landing_Daily</x:v>
      </x:c>
      <x:c r="B149" s="18" t="str">
        <x:v>booking_starts</x:v>
      </x:c>
      <x:c r="C149" s="18" t="str">
        <x:v>Validated aggregate begin_booking events; event delivery and key-event registration are separate.</x:v>
      </x:c>
      <x:c r="D149" s="18" t="str">
        <x:v>Number (when applicable)</x:v>
      </x:c>
      <x:c r="E149" s="18" t="str">
        <x:v>Date × landing URL × visitor country × device × session source/medium × currency</x:v>
      </x:c>
      <x:c r="F149" s="18" t="str">
        <x:v>Sum only compatible, deduplicated rows and non-overlapping windows</x:v>
      </x:c>
      <x:c r="G149" s="18" t="str">
        <x:v>Blank numeric + explicit quality; never invented zero</x:v>
      </x:c>
    </x:row>
    <x:row r="150" ht="65" customHeight="1">
      <x:c r="A150" s="18" t="str">
        <x:v>11_GA4_Landing_Daily</x:v>
      </x:c>
      <x:c r="B150" s="18" t="str">
        <x:v>purchases</x:v>
      </x:c>
      <x:c r="C150" s="18" t="str">
        <x:v>Validated aggregate purchase metric/events; verify definition and deduplication.</x:v>
      </x:c>
      <x:c r="D150" s="18" t="str">
        <x:v>Number (when applicable)</x:v>
      </x:c>
      <x:c r="E150" s="18" t="str">
        <x:v>Date × landing URL × visitor country × device × session source/medium × currency</x:v>
      </x:c>
      <x:c r="F150" s="18" t="str">
        <x:v>Sum only compatible, deduplicated rows and non-overlapping windows</x:v>
      </x:c>
      <x:c r="G150" s="18" t="str">
        <x:v>Blank numeric + explicit quality; never invented zero</x:v>
      </x:c>
    </x:row>
    <x:row r="151" ht="65" customHeight="1">
      <x:c r="A151" s="18" t="str">
        <x:v>11_GA4_Landing_Daily</x:v>
      </x:c>
      <x:c r="B151" s="18" t="str">
        <x:v>purchase_revenue</x:v>
      </x:c>
      <x:c r="C151" s="18" t="str">
        <x:v>Revenue in the row's stated currency and source definition.</x:v>
      </x:c>
      <x:c r="D151" s="18" t="str">
        <x:v>Number (when applicable)</x:v>
      </x:c>
      <x:c r="E151" s="18" t="str">
        <x:v>Date × landing URL × visitor country × device × session source/medium × currency</x:v>
      </x:c>
      <x:c r="F151" s="18" t="str">
        <x:v>Sum only same verified currency and compatible grain</x:v>
      </x:c>
      <x:c r="G151" s="18" t="str">
        <x:v>Blank numeric + explicit quality; never invented zero</x:v>
      </x:c>
    </x:row>
    <x:row r="152" ht="65" customHeight="1">
      <x:c r="A152" s="18" t="str">
        <x:v>11_GA4_Landing_Daily</x:v>
      </x:c>
      <x:c r="B152" s="18" t="str">
        <x:v>currency</x:v>
      </x:c>
      <x:c r="C152" s="18" t="str">
        <x:v>Currency; see sheet subtitle and companion audit prompt.</x:v>
      </x:c>
      <x:c r="D152" s="18" t="str">
        <x:v>Text</x:v>
      </x:c>
      <x:c r="E152" s="18" t="str">
        <x:v>Date × landing URL × visitor country × device × session source/medium × currency</x:v>
      </x:c>
      <x:c r="F152" s="18" t="str">
        <x:v>Dimension / evidence; do not sum</x:v>
      </x:c>
      <x:c r="G152" s="18" t="str">
        <x:v>Blank numeric + explicit quality; never invented zero</x:v>
      </x:c>
    </x:row>
    <x:row r="153" ht="65" customHeight="1">
      <x:c r="A153" s="18" t="str">
        <x:v>11_GA4_Landing_Daily</x:v>
      </x:c>
      <x:c r="B153" s="18" t="str">
        <x:v>total_users</x:v>
      </x:c>
      <x:c r="C153" s="18" t="str">
        <x:v>Distinct-user metric; non-additive across dates/pages. Query the requested aggregate separately.</x:v>
      </x:c>
      <x:c r="D153" s="18" t="str">
        <x:v>Number (when applicable)</x:v>
      </x:c>
      <x:c r="E153" s="18" t="str">
        <x:v>Date × landing URL × visitor country × device × session source/medium × currency</x:v>
      </x:c>
      <x:c r="F153" s="18" t="str">
        <x:v>Query correct aggregate; non-additive</x:v>
      </x:c>
      <x:c r="G153" s="18" t="str">
        <x:v>Blank numeric + explicit quality; never invented zero</x:v>
      </x:c>
    </x:row>
    <x:row r="154" ht="65" customHeight="1">
      <x:c r="A154" s="18" t="str">
        <x:v>11_GA4_Landing_Daily</x:v>
      </x:c>
      <x:c r="B154" s="18" t="str">
        <x:v>session_key_event_rate</x:v>
      </x:c>
      <x:c r="C154" s="18" t="str">
        <x:v>Official GA4 session-scoped key-event rate for the requested grain.</x:v>
      </x:c>
      <x:c r="D154" s="18" t="str">
        <x:v>Number (when applicable)</x:v>
      </x:c>
      <x:c r="E154" s="18" t="str">
        <x:v>Date × landing URL × visitor country × device × session source/medium × currency</x:v>
      </x:c>
      <x:c r="F154" s="18" t="str">
        <x:v>Query correct aggregate; non-additive</x:v>
      </x:c>
      <x:c r="G154" s="18" t="str">
        <x:v>Blank numeric + explicit quality; never invented zero</x:v>
      </x:c>
    </x:row>
    <x:row r="155" ht="65" customHeight="1">
      <x:c r="A155" s="18" t="str">
        <x:v>11_GA4_Landing_Daily</x:v>
      </x:c>
      <x:c r="B155" s="18" t="str">
        <x:v>engagement_rate</x:v>
      </x:c>
      <x:c r="C155" s="18" t="str">
        <x:v>Engaged sessions divided by sessions; do not average daily percentages.</x:v>
      </x:c>
      <x:c r="D155" s="18" t="str">
        <x:v>Number (when applicable)</x:v>
      </x:c>
      <x:c r="E155" s="18" t="str">
        <x:v>Date × landing URL × visitor country × device × session source/medium × currency</x:v>
      </x:c>
      <x:c r="F155" s="18" t="str">
        <x:v>Ratio of aggregate numerator / denominator</x:v>
      </x:c>
      <x:c r="G155" s="18" t="str">
        <x:v>Blank numeric + explicit quality; never invented zero</x:v>
      </x:c>
    </x:row>
    <x:row r="156" ht="65" customHeight="1">
      <x:c r="A156" s="18" t="str">
        <x:v>11_GA4_Landing_Daily</x:v>
      </x:c>
      <x:c r="B156" s="18" t="str">
        <x:v>row_key</x:v>
      </x:c>
      <x:c r="C156" s="18" t="str">
        <x:v>Stable compound key for idempotent upserts. Keep the underlying dimensions too.</x:v>
      </x:c>
      <x:c r="D156" s="18" t="str">
        <x:v>Text</x:v>
      </x:c>
      <x:c r="E156" s="18" t="str">
        <x:v>Date × landing URL × visitor country × device × session source/medium × currency</x:v>
      </x:c>
      <x:c r="F156" s="18" t="str">
        <x:v>Dimension / evidence; do not sum</x:v>
      </x:c>
      <x:c r="G156" s="18" t="str">
        <x:v>Blank numeric + explicit quality; never invented zero</x:v>
      </x:c>
    </x:row>
    <x:row r="157" ht="65" customHeight="1">
      <x:c r="A157" s="18" t="str">
        <x:v>11_GA4_Landing_Daily</x:v>
      </x:c>
      <x:c r="B157" s="18" t="str">
        <x:v>refresh_id</x:v>
      </x:c>
      <x:c r="C157" s="18" t="str">
        <x:v>Join to Refresh Log and archived source response/request manifest.</x:v>
      </x:c>
      <x:c r="D157" s="18" t="str">
        <x:v>Text</x:v>
      </x:c>
      <x:c r="E157" s="18" t="str">
        <x:v>Date × landing URL × visitor country × device × session source/medium × currency</x:v>
      </x:c>
      <x:c r="F157" s="18" t="str">
        <x:v>Dimension / evidence; do not sum</x:v>
      </x:c>
      <x:c r="G157" s="18" t="str">
        <x:v>Blank numeric + explicit quality; never invented zero</x:v>
      </x:c>
    </x:row>
    <x:row r="158" ht="65" customHeight="1">
      <x:c r="A158" s="18" t="str">
        <x:v>11_GA4_Landing_Daily</x:v>
      </x:c>
      <x:c r="B158" s="18" t="str">
        <x:v>data_quality</x:v>
      </x:c>
      <x:c r="C158" s="18" t="str">
        <x:v>Measured, missing, incomplete, thresholded or other clearly explained status.</x:v>
      </x:c>
      <x:c r="D158" s="18" t="str">
        <x:v>Text</x:v>
      </x:c>
      <x:c r="E158" s="18" t="str">
        <x:v>Date × landing URL × visitor country × device × session source/medium × currency</x:v>
      </x:c>
      <x:c r="F158" s="18" t="str">
        <x:v>Dimension / evidence; do not sum</x:v>
      </x:c>
      <x:c r="G158" s="18" t="str">
        <x:v>Blank numeric + explicit quality; never invented zero</x:v>
      </x:c>
    </x:row>
    <x:row r="159" ht="65" customHeight="1">
      <x:c r="A159" s="18" t="str">
        <x:v>11_GA4_Landing_Daily</x:v>
      </x:c>
      <x:c r="B159" s="18" t="str">
        <x:v>source</x:v>
      </x:c>
      <x:c r="C159" s="18" t="str">
        <x:v>Source; see sheet subtitle and companion audit prompt.</x:v>
      </x:c>
      <x:c r="D159" s="18" t="str">
        <x:v>Text</x:v>
      </x:c>
      <x:c r="E159" s="18" t="str">
        <x:v>Date × landing URL × visitor country × device × session source/medium × currency</x:v>
      </x:c>
      <x:c r="F159" s="18" t="str">
        <x:v>Dimension / evidence; do not sum</x:v>
      </x:c>
      <x:c r="G159" s="18" t="str">
        <x:v>Blank numeric + explicit quality; never invented zero</x:v>
      </x:c>
    </x:row>
    <x:row r="160" ht="65" customHeight="1">
      <x:c r="A160" s="18" t="str">
        <x:v>12_Monthly_Summary</x:v>
      </x:c>
      <x:c r="B160" s="18" t="str">
        <x:v>month_start</x:v>
      </x:c>
      <x:c r="C160" s="18" t="str">
        <x:v>First day of reporting month. A month is comparable only after completeness and measurement-gap checks.</x:v>
      </x:c>
      <x:c r="D160" s="18" t="str">
        <x:v>Date / timestamp</x:v>
      </x:c>
      <x:c r="E160" s="18" t="str">
        <x:v>Month × target market × language</x:v>
      </x:c>
      <x:c r="F160" s="18" t="str">
        <x:v>Dimension / evidence; do not sum</x:v>
      </x:c>
      <x:c r="G160" s="18" t="str">
        <x:v>Blank numeric + explicit quality; never invented zero</x:v>
      </x:c>
    </x:row>
    <x:row r="161" ht="65" customHeight="1">
      <x:c r="A161" s="18" t="str">
        <x:v>12_Monthly_Summary</x:v>
      </x:c>
      <x:c r="B161" s="18" t="str">
        <x:v>target_country</x:v>
      </x:c>
      <x:c r="C161" s="18" t="str">
        <x:v>Business/service market targeted by the page, derived from verified routing or content ownership.</x:v>
      </x:c>
      <x:c r="D161" s="18" t="str">
        <x:v>Text</x:v>
      </x:c>
      <x:c r="E161" s="18" t="str">
        <x:v>Month × target market × language</x:v>
      </x:c>
      <x:c r="F161" s="18" t="str">
        <x:v>Dimension / evidence; do not sum</x:v>
      </x:c>
      <x:c r="G161" s="18" t="str">
        <x:v>Blank numeric + explicit quality; never invented zero</x:v>
      </x:c>
    </x:row>
    <x:row r="162" ht="65" customHeight="1">
      <x:c r="A162" s="18" t="str">
        <x:v>12_Monthly_Summary</x:v>
      </x:c>
      <x:c r="B162" s="18" t="str">
        <x:v>language</x:v>
      </x:c>
      <x:c r="C162" s="18" t="str">
        <x:v>Page content language, not visitor browser language; use with target_country.</x:v>
      </x:c>
      <x:c r="D162" s="18" t="str">
        <x:v>Text</x:v>
      </x:c>
      <x:c r="E162" s="18" t="str">
        <x:v>Month × target market × language</x:v>
      </x:c>
      <x:c r="F162" s="18" t="str">
        <x:v>Dimension / evidence; do not sum</x:v>
      </x:c>
      <x:c r="G162" s="18" t="str">
        <x:v>Blank numeric + explicit quality; never invented zero</x:v>
      </x:c>
    </x:row>
    <x:row r="163" ht="65" customHeight="1">
      <x:c r="A163" s="18" t="str">
        <x:v>12_Monthly_Summary</x:v>
      </x:c>
      <x:c r="B163" s="18" t="str">
        <x:v>gsc_rows</x:v>
      </x:c>
      <x:c r="C163" s="18" t="str">
        <x:v>Gsc rows; see sheet subtitle and companion audit prompt.</x:v>
      </x:c>
      <x:c r="D163" s="18" t="str">
        <x:v>Text</x:v>
      </x:c>
      <x:c r="E163" s="18" t="str">
        <x:v>Month × target market × language</x:v>
      </x:c>
      <x:c r="F163" s="18" t="str">
        <x:v>Dimension / evidence; do not sum</x:v>
      </x:c>
      <x:c r="G163" s="18" t="str">
        <x:v>Blank numeric + explicit quality; never invented zero</x:v>
      </x:c>
    </x:row>
    <x:row r="164" ht="65" customHeight="1">
      <x:c r="A164" s="18" t="str">
        <x:v>12_Monthly_Summary</x:v>
      </x:c>
      <x:c r="B164" s="18" t="str">
        <x:v>clicks</x:v>
      </x:c>
      <x:c r="C164" s="18" t="str">
        <x:v>Observed GSC clicks for this exact row grain; never add page/query/property views together.</x:v>
      </x:c>
      <x:c r="D164" s="18" t="str">
        <x:v>Number (when applicable)</x:v>
      </x:c>
      <x:c r="E164" s="18" t="str">
        <x:v>Month × target market × language</x:v>
      </x:c>
      <x:c r="F164" s="18" t="str">
        <x:v>Sum only compatible, deduplicated rows and non-overlapping windows</x:v>
      </x:c>
      <x:c r="G164" s="18" t="str">
        <x:v>Blank numeric + explicit quality; never invented zero</x:v>
      </x:c>
    </x:row>
    <x:row r="165" ht="65" customHeight="1">
      <x:c r="A165" s="18" t="str">
        <x:v>12_Monthly_Summary</x:v>
      </x:c>
      <x:c r="B165" s="18" t="str">
        <x:v>impressions</x:v>
      </x:c>
      <x:c r="C165" s="18" t="str">
        <x:v>Observed GSC impressions for this exact row grain.</x:v>
      </x:c>
      <x:c r="D165" s="18" t="str">
        <x:v>Number (when applicable)</x:v>
      </x:c>
      <x:c r="E165" s="18" t="str">
        <x:v>Month × target market × language</x:v>
      </x:c>
      <x:c r="F165" s="18" t="str">
        <x:v>Sum only compatible, deduplicated rows and non-overlapping windows</x:v>
      </x:c>
      <x:c r="G165" s="18" t="str">
        <x:v>Blank numeric + explicit quality; never invented zero</x:v>
      </x:c>
    </x:row>
    <x:row r="166" ht="65" customHeight="1">
      <x:c r="A166" s="18" t="str">
        <x:v>12_Monthly_Summary</x:v>
      </x:c>
      <x:c r="B166" s="18" t="str">
        <x:v>ctr</x:v>
      </x:c>
      <x:c r="C166" s="18" t="str">
        <x:v>Clicks divided by impressions. Recompute at the chosen grain; never average row CTRs.</x:v>
      </x:c>
      <x:c r="D166" s="18" t="str">
        <x:v>Number (when applicable)</x:v>
      </x:c>
      <x:c r="E166" s="18" t="str">
        <x:v>Month × target market × language</x:v>
      </x:c>
      <x:c r="F166" s="18" t="str">
        <x:v>Ratio of aggregate numerator / denominator</x:v>
      </x:c>
      <x:c r="G166" s="18" t="str">
        <x:v>Blank numeric + explicit quality; never invented zero</x:v>
      </x:c>
    </x:row>
    <x:row r="167" ht="65" customHeight="1">
      <x:c r="A167" s="18" t="str">
        <x:v>12_Monthly_Summary</x:v>
      </x:c>
      <x:c r="B167" s="18" t="str">
        <x:v>weighted_position</x:v>
      </x:c>
      <x:c r="C167" s="18" t="str">
        <x:v>Sum(position × impressions) / sum(impressions) over compatible page rows; diagnostic only.</x:v>
      </x:c>
      <x:c r="D167" s="18" t="str">
        <x:v>Number (when applicable)</x:v>
      </x:c>
      <x:c r="E167" s="18" t="str">
        <x:v>Month × target market × language</x:v>
      </x:c>
      <x:c r="F167" s="18" t="str">
        <x:v>Impression-weight at the same grain; preserve source caveats</x:v>
      </x:c>
      <x:c r="G167" s="18" t="str">
        <x:v>Blank numeric + explicit quality; never invented zero</x:v>
      </x:c>
    </x:row>
    <x:row r="168" ht="65" customHeight="1">
      <x:c r="A168" s="18" t="str">
        <x:v>12_Monthly_Summary</x:v>
      </x:c>
      <x:c r="B168" s="18" t="str">
        <x:v>ga4_rows</x:v>
      </x:c>
      <x:c r="C168" s="18" t="str">
        <x:v>Ga4 rows; see sheet subtitle and companion audit prompt.</x:v>
      </x:c>
      <x:c r="D168" s="18" t="str">
        <x:v>Text</x:v>
      </x:c>
      <x:c r="E168" s="18" t="str">
        <x:v>Month × target market × language</x:v>
      </x:c>
      <x:c r="F168" s="18" t="str">
        <x:v>Dimension / evidence; do not sum</x:v>
      </x:c>
      <x:c r="G168" s="18" t="str">
        <x:v>Blank numeric + explicit quality; never invented zero</x:v>
      </x:c>
    </x:row>
    <x:row r="169" ht="65" customHeight="1">
      <x:c r="A169" s="18" t="str">
        <x:v>12_Monthly_Summary</x:v>
      </x:c>
      <x:c r="B169" s="18" t="str">
        <x:v>organic_sessions</x:v>
      </x:c>
      <x:c r="C169" s="18" t="str">
        <x:v>Monthly sum of compatible organic landing-page session rows, subject to source quality.</x:v>
      </x:c>
      <x:c r="D169" s="18" t="str">
        <x:v>Number (when applicable)</x:v>
      </x:c>
      <x:c r="E169" s="18" t="str">
        <x:v>Month × target market × language</x:v>
      </x:c>
      <x:c r="F169" s="18" t="str">
        <x:v>Sum only compatible, deduplicated rows and non-overlapping windows</x:v>
      </x:c>
      <x:c r="G169" s="18" t="str">
        <x:v>Blank numeric + explicit quality; never invented zero</x:v>
      </x:c>
    </x:row>
    <x:row r="170" ht="65" customHeight="1">
      <x:c r="A170" s="18" t="str">
        <x:v>12_Monthly_Summary</x:v>
      </x:c>
      <x:c r="B170" s="18" t="str">
        <x:v>engaged_sessions</x:v>
      </x:c>
      <x:c r="C170" s="18" t="str">
        <x:v>GA4 engaged sessions at a compatible session/landing-page grain.</x:v>
      </x:c>
      <x:c r="D170" s="18" t="str">
        <x:v>Number (when applicable)</x:v>
      </x:c>
      <x:c r="E170" s="18" t="str">
        <x:v>Month × target market × language</x:v>
      </x:c>
      <x:c r="F170" s="18" t="str">
        <x:v>Sum only compatible, deduplicated rows and non-overlapping windows</x:v>
      </x:c>
      <x:c r="G170" s="18" t="str">
        <x:v>Blank numeric + explicit quality; never invented zero</x:v>
      </x:c>
    </x:row>
    <x:row r="171" ht="65" customHeight="1">
      <x:c r="A171" s="18" t="str">
        <x:v>12_Monthly_Summary</x:v>
      </x:c>
      <x:c r="B171" s="18" t="str">
        <x:v>engagement_rate</x:v>
      </x:c>
      <x:c r="C171" s="18" t="str">
        <x:v>Engaged sessions divided by sessions; do not average daily percentages.</x:v>
      </x:c>
      <x:c r="D171" s="18" t="str">
        <x:v>Number (when applicable)</x:v>
      </x:c>
      <x:c r="E171" s="18" t="str">
        <x:v>Month × target market × language</x:v>
      </x:c>
      <x:c r="F171" s="18" t="str">
        <x:v>Ratio of aggregate numerator / denominator</x:v>
      </x:c>
      <x:c r="G171" s="18" t="str">
        <x:v>Blank numeric + explicit quality; never invented zero</x:v>
      </x:c>
    </x:row>
    <x:row r="172" ht="65" customHeight="1">
      <x:c r="A172" s="18" t="str">
        <x:v>12_Monthly_Summary</x:v>
      </x:c>
      <x:c r="B172" s="18" t="str">
        <x:v>key_events</x:v>
      </x:c>
      <x:c r="C172" s="18" t="str">
        <x:v>Key-event count; not a count of converting sessions or confirmed clinical appointments.</x:v>
      </x:c>
      <x:c r="D172" s="18" t="str">
        <x:v>Number (when applicable)</x:v>
      </x:c>
      <x:c r="E172" s="18" t="str">
        <x:v>Month × target market × language</x:v>
      </x:c>
      <x:c r="F172" s="18" t="str">
        <x:v>Sum only compatible, deduplicated rows and non-overlapping windows</x:v>
      </x:c>
      <x:c r="G172" s="18" t="str">
        <x:v>Blank numeric + explicit quality; never invented zero</x:v>
      </x:c>
    </x:row>
    <x:row r="173" ht="65" customHeight="1">
      <x:c r="A173" s="18" t="str">
        <x:v>12_Monthly_Summary</x:v>
      </x:c>
      <x:c r="B173" s="18" t="str">
        <x:v>booking_starts</x:v>
      </x:c>
      <x:c r="C173" s="18" t="str">
        <x:v>Validated aggregate begin_booking events; event delivery and key-event registration are separate.</x:v>
      </x:c>
      <x:c r="D173" s="18" t="str">
        <x:v>Number (when applicable)</x:v>
      </x:c>
      <x:c r="E173" s="18" t="str">
        <x:v>Month × target market × language</x:v>
      </x:c>
      <x:c r="F173" s="18" t="str">
        <x:v>Sum only compatible, deduplicated rows and non-overlapping windows</x:v>
      </x:c>
      <x:c r="G173" s="18" t="str">
        <x:v>Blank numeric + explicit quality; never invented zero</x:v>
      </x:c>
    </x:row>
    <x:row r="174" ht="65" customHeight="1">
      <x:c r="A174" s="18" t="str">
        <x:v>12_Monthly_Summary</x:v>
      </x:c>
      <x:c r="B174" s="18" t="str">
        <x:v>purchases</x:v>
      </x:c>
      <x:c r="C174" s="18" t="str">
        <x:v>Validated aggregate purchase metric/events; verify definition and deduplication.</x:v>
      </x:c>
      <x:c r="D174" s="18" t="str">
        <x:v>Number (when applicable)</x:v>
      </x:c>
      <x:c r="E174" s="18" t="str">
        <x:v>Month × target market × language</x:v>
      </x:c>
      <x:c r="F174" s="18" t="str">
        <x:v>Sum only compatible, deduplicated rows and non-overlapping windows</x:v>
      </x:c>
      <x:c r="G174" s="18" t="str">
        <x:v>Blank numeric + explicit quality; never invented zero</x:v>
      </x:c>
    </x:row>
    <x:row r="175" ht="65" customHeight="1">
      <x:c r="A175" s="18" t="str">
        <x:v>12_Monthly_Summary</x:v>
      </x:c>
      <x:c r="B175" s="18" t="str">
        <x:v>revenue</x:v>
      </x:c>
      <x:c r="C175" s="18" t="str">
        <x:v>Aggregate only after validating currency, source completeness and compatible attribution.</x:v>
      </x:c>
      <x:c r="D175" s="18" t="str">
        <x:v>Number (when applicable)</x:v>
      </x:c>
      <x:c r="E175" s="18" t="str">
        <x:v>Month × target market × language</x:v>
      </x:c>
      <x:c r="F175" s="18" t="str">
        <x:v>Sum only same verified currency and compatible grain</x:v>
      </x:c>
      <x:c r="G175" s="18" t="str">
        <x:v>Blank numeric + explicit quality; never invented zero</x:v>
      </x:c>
    </x:row>
    <x:row r="176" ht="65" customHeight="1">
      <x:c r="A176" s="18" t="str">
        <x:v>12_Monthly_Summary</x:v>
      </x:c>
      <x:c r="B176" s="18" t="str">
        <x:v>currency</x:v>
      </x:c>
      <x:c r="C176" s="18" t="str">
        <x:v>Currency; see sheet subtitle and companion audit prompt.</x:v>
      </x:c>
      <x:c r="D176" s="18" t="str">
        <x:v>Text</x:v>
      </x:c>
      <x:c r="E176" s="18" t="str">
        <x:v>Month × target market × language</x:v>
      </x:c>
      <x:c r="F176" s="18" t="str">
        <x:v>Dimension / evidence; do not sum</x:v>
      </x:c>
      <x:c r="G176" s="18" t="str">
        <x:v>Blank numeric + explicit quality; never invented zero</x:v>
      </x:c>
    </x:row>
    <x:row r="177" ht="65" customHeight="1">
      <x:c r="A177" s="18" t="str">
        <x:v>12_Monthly_Summary</x:v>
      </x:c>
      <x:c r="B177" s="18" t="str">
        <x:v>reported_session_key_event_rate</x:v>
      </x:c>
      <x:c r="C177" s="18" t="str">
        <x:v>Import exact requested-period GA4 rate; do not derive from total event counts.</x:v>
      </x:c>
      <x:c r="D177" s="18" t="str">
        <x:v>Number (when applicable)</x:v>
      </x:c>
      <x:c r="E177" s="18" t="str">
        <x:v>Month × target market × language</x:v>
      </x:c>
      <x:c r="F177" s="18" t="str">
        <x:v>Query correct aggregate; non-additive</x:v>
      </x:c>
      <x:c r="G177" s="18" t="str">
        <x:v>Blank numeric + explicit quality; never invented zero</x:v>
      </x:c>
    </x:row>
    <x:row r="178" ht="65" customHeight="1">
      <x:c r="A178" s="18" t="str">
        <x:v>12_Monthly_Summary</x:v>
      </x:c>
      <x:c r="B178" s="18" t="str">
        <x:v>quality_status</x:v>
      </x:c>
      <x:c r="C178" s="18" t="str">
        <x:v>Quality status; see sheet subtitle and companion audit prompt.</x:v>
      </x:c>
      <x:c r="D178" s="18" t="str">
        <x:v>Text</x:v>
      </x:c>
      <x:c r="E178" s="18" t="str">
        <x:v>Month × target market × language</x:v>
      </x:c>
      <x:c r="F178" s="18" t="str">
        <x:v>Dimension / evidence; do not sum</x:v>
      </x:c>
      <x:c r="G178" s="18" t="str">
        <x:v>Blank numeric + explicit quality; never invented zero</x:v>
      </x:c>
    </x:row>
    <x:row r="179" ht="65" customHeight="1">
      <x:c r="A179" s="18" t="str">
        <x:v>13_Keyword_Map</x:v>
      </x:c>
      <x:c r="B179" s="18" t="str">
        <x:v>keyword_id</x:v>
      </x:c>
      <x:c r="C179" s="18" t="str">
        <x:v>Keyword id; see sheet subtitle and companion audit prompt.</x:v>
      </x:c>
      <x:c r="D179" s="18" t="str">
        <x:v>Text</x:v>
      </x:c>
      <x:c r="E179" s="18" t="str">
        <x:v>One record per stated sheet entity / check / observation</x:v>
      </x:c>
      <x:c r="F179" s="18" t="str">
        <x:v>Dimension / evidence; do not sum</x:v>
      </x:c>
      <x:c r="G179" s="18" t="str">
        <x:v>Blank numeric + explicit quality; never invented zero</x:v>
      </x:c>
    </x:row>
    <x:row r="180" ht="65" customHeight="1">
      <x:c r="A180" s="18" t="str">
        <x:v>13_Keyword_Map</x:v>
      </x:c>
      <x:c r="B180" s="18" t="str">
        <x:v>target_country</x:v>
      </x:c>
      <x:c r="C180" s="18" t="str">
        <x:v>Business/service market targeted by the page, derived from verified routing or content ownership.</x:v>
      </x:c>
      <x:c r="D180" s="18" t="str">
        <x:v>Text</x:v>
      </x:c>
      <x:c r="E180" s="18" t="str">
        <x:v>One record per stated sheet entity / check / observation</x:v>
      </x:c>
      <x:c r="F180" s="18" t="str">
        <x:v>Dimension / evidence; do not sum</x:v>
      </x:c>
      <x:c r="G180" s="18" t="str">
        <x:v>Blank numeric + explicit quality; never invented zero</x:v>
      </x:c>
    </x:row>
    <x:row r="181" ht="65" customHeight="1">
      <x:c r="A181" s="18" t="str">
        <x:v>13_Keyword_Map</x:v>
      </x:c>
      <x:c r="B181" s="18" t="str">
        <x:v>language</x:v>
      </x:c>
      <x:c r="C181" s="18" t="str">
        <x:v>Page content language, not visitor browser language; use with target_country.</x:v>
      </x:c>
      <x:c r="D181" s="18" t="str">
        <x:v>Text</x:v>
      </x:c>
      <x:c r="E181" s="18" t="str">
        <x:v>One record per stated sheet entity / check / observation</x:v>
      </x:c>
      <x:c r="F181" s="18" t="str">
        <x:v>Dimension / evidence; do not sum</x:v>
      </x:c>
      <x:c r="G181" s="18" t="str">
        <x:v>Blank numeric + explicit quality; never invented zero</x:v>
      </x:c>
    </x:row>
    <x:row r="182" ht="65" customHeight="1">
      <x:c r="A182" s="18" t="str">
        <x:v>13_Keyword_Map</x:v>
      </x:c>
      <x:c r="B182" s="18" t="str">
        <x:v>query</x:v>
      </x:c>
      <x:c r="C182" s="18" t="str">
        <x:v>Query; see sheet subtitle and companion audit prompt.</x:v>
      </x:c>
      <x:c r="D182" s="18" t="str">
        <x:v>Text</x:v>
      </x:c>
      <x:c r="E182" s="18" t="str">
        <x:v>One record per stated sheet entity / check / observation</x:v>
      </x:c>
      <x:c r="F182" s="18" t="str">
        <x:v>Dimension / evidence; do not sum</x:v>
      </x:c>
      <x:c r="G182" s="18" t="str">
        <x:v>Blank numeric + explicit quality; never invented zero</x:v>
      </x:c>
    </x:row>
    <x:row r="183" ht="65" customHeight="1">
      <x:c r="A183" s="18" t="str">
        <x:v>13_Keyword_Map</x:v>
      </x:c>
      <x:c r="B183" s="18" t="str">
        <x:v>intent</x:v>
      </x:c>
      <x:c r="C183" s="18" t="str">
        <x:v>Intent; see sheet subtitle and companion audit prompt.</x:v>
      </x:c>
      <x:c r="D183" s="18" t="str">
        <x:v>Text</x:v>
      </x:c>
      <x:c r="E183" s="18" t="str">
        <x:v>One record per stated sheet entity / check / observation</x:v>
      </x:c>
      <x:c r="F183" s="18" t="str">
        <x:v>Dimension / evidence; do not sum</x:v>
      </x:c>
      <x:c r="G183" s="18" t="str">
        <x:v>Blank numeric + explicit quality; never invented zero</x:v>
      </x:c>
    </x:row>
    <x:row r="184" ht="65" customHeight="1">
      <x:c r="A184" s="18" t="str">
        <x:v>13_Keyword_Map</x:v>
      </x:c>
      <x:c r="B184" s="18" t="str">
        <x:v>brand_class</x:v>
      </x:c>
      <x:c r="C184" s="18" t="str">
        <x:v>Brand class; see sheet subtitle and companion audit prompt.</x:v>
      </x:c>
      <x:c r="D184" s="18" t="str">
        <x:v>Text</x:v>
      </x:c>
      <x:c r="E184" s="18" t="str">
        <x:v>One record per stated sheet entity / check / observation</x:v>
      </x:c>
      <x:c r="F184" s="18" t="str">
        <x:v>Dimension / evidence; do not sum</x:v>
      </x:c>
      <x:c r="G184" s="18" t="str">
        <x:v>Blank numeric + explicit quality; never invented zero</x:v>
      </x:c>
    </x:row>
    <x:row r="185" ht="65" customHeight="1">
      <x:c r="A185" s="18" t="str">
        <x:v>13_Keyword_Map</x:v>
      </x:c>
      <x:c r="B185" s="18" t="str">
        <x:v>cluster</x:v>
      </x:c>
      <x:c r="C185" s="18" t="str">
        <x:v>Cluster; see sheet subtitle and companion audit prompt.</x:v>
      </x:c>
      <x:c r="D185" s="18" t="str">
        <x:v>Text</x:v>
      </x:c>
      <x:c r="E185" s="18" t="str">
        <x:v>One record per stated sheet entity / check / observation</x:v>
      </x:c>
      <x:c r="F185" s="18" t="str">
        <x:v>Dimension / evidence; do not sum</x:v>
      </x:c>
      <x:c r="G185" s="18" t="str">
        <x:v>Blank numeric + explicit quality; never invented zero</x:v>
      </x:c>
    </x:row>
    <x:row r="186" ht="65" customHeight="1">
      <x:c r="A186" s="18" t="str">
        <x:v>13_Keyword_Map</x:v>
      </x:c>
      <x:c r="B186" s="18" t="str">
        <x:v>owner_url_id</x:v>
      </x:c>
      <x:c r="C186" s="18" t="str">
        <x:v>Owner url id; see sheet subtitle and companion audit prompt.</x:v>
      </x:c>
      <x:c r="D186" s="18" t="str">
        <x:v>Text</x:v>
      </x:c>
      <x:c r="E186" s="18" t="str">
        <x:v>One record per stated sheet entity / check / observation</x:v>
      </x:c>
      <x:c r="F186" s="18" t="str">
        <x:v>Dimension / evidence; do not sum</x:v>
      </x:c>
      <x:c r="G186" s="18" t="str">
        <x:v>Blank numeric + explicit quality; never invented zero</x:v>
      </x:c>
    </x:row>
    <x:row r="187" ht="65" customHeight="1">
      <x:c r="A187" s="18" t="str">
        <x:v>13_Keyword_Map</x:v>
      </x:c>
      <x:c r="B187" s="18" t="str">
        <x:v>owner_url</x:v>
      </x:c>
      <x:c r="C187" s="18" t="str">
        <x:v>Owner url; see sheet subtitle and companion audit prompt.</x:v>
      </x:c>
      <x:c r="D187" s="18" t="str">
        <x:v>Text</x:v>
      </x:c>
      <x:c r="E187" s="18" t="str">
        <x:v>One record per stated sheet entity / check / observation</x:v>
      </x:c>
      <x:c r="F187" s="18" t="str">
        <x:v>Dimension / evidence; do not sum</x:v>
      </x:c>
      <x:c r="G187" s="18" t="str">
        <x:v>Blank numeric + explicit quality; never invented zero</x:v>
      </x:c>
    </x:row>
    <x:row r="188" ht="65" customHeight="1">
      <x:c r="A188" s="18" t="str">
        <x:v>13_Keyword_Map</x:v>
      </x:c>
      <x:c r="B188" s="18" t="str">
        <x:v>volume_estimate</x:v>
      </x:c>
      <x:c r="C188" s="18" t="str">
        <x:v>Volume estimate; see sheet subtitle and companion audit prompt.</x:v>
      </x:c>
      <x:c r="D188" s="18" t="str">
        <x:v>Text</x:v>
      </x:c>
      <x:c r="E188" s="18" t="str">
        <x:v>One record per stated sheet entity / check / observation</x:v>
      </x:c>
      <x:c r="F188" s="18" t="str">
        <x:v>Dimension / evidence; do not sum</x:v>
      </x:c>
      <x:c r="G188" s="18" t="str">
        <x:v>Blank numeric + explicit quality; never invented zero</x:v>
      </x:c>
    </x:row>
    <x:row r="189" ht="65" customHeight="1">
      <x:c r="A189" s="18" t="str">
        <x:v>13_Keyword_Map</x:v>
      </x:c>
      <x:c r="B189" s="18" t="str">
        <x:v>difficulty_estimate</x:v>
      </x:c>
      <x:c r="C189" s="18" t="str">
        <x:v>Difficulty estimate; see sheet subtitle and companion audit prompt.</x:v>
      </x:c>
      <x:c r="D189" s="18" t="str">
        <x:v>Text</x:v>
      </x:c>
      <x:c r="E189" s="18" t="str">
        <x:v>One record per stated sheet entity / check / observation</x:v>
      </x:c>
      <x:c r="F189" s="18" t="str">
        <x:v>Dimension / evidence; do not sum</x:v>
      </x:c>
      <x:c r="G189" s="18" t="str">
        <x:v>Blank numeric + explicit quality; never invented zero</x:v>
      </x:c>
    </x:row>
    <x:row r="190" ht="65" customHeight="1">
      <x:c r="A190" s="18" t="str">
        <x:v>13_Keyword_Map</x:v>
      </x:c>
      <x:c r="B190" s="18" t="str">
        <x:v>current_rank</x:v>
      </x:c>
      <x:c r="C190" s="18" t="str">
        <x:v>Current rank; see sheet subtitle and companion audit prompt.</x:v>
      </x:c>
      <x:c r="D190" s="18" t="str">
        <x:v>Text</x:v>
      </x:c>
      <x:c r="E190" s="18" t="str">
        <x:v>One record per stated sheet entity / check / observation</x:v>
      </x:c>
      <x:c r="F190" s="18" t="str">
        <x:v>Dimension / evidence; do not sum</x:v>
      </x:c>
      <x:c r="G190" s="18" t="str">
        <x:v>Blank numeric + explicit quality; never invented zero</x:v>
      </x:c>
    </x:row>
    <x:row r="191" ht="65" customHeight="1">
      <x:c r="A191" s="18" t="str">
        <x:v>13_Keyword_Map</x:v>
      </x:c>
      <x:c r="B191" s="18" t="str">
        <x:v>serp_device</x:v>
      </x:c>
      <x:c r="C191" s="18" t="str">
        <x:v>Serp device; see sheet subtitle and companion audit prompt.</x:v>
      </x:c>
      <x:c r="D191" s="18" t="str">
        <x:v>Text</x:v>
      </x:c>
      <x:c r="E191" s="18" t="str">
        <x:v>One record per stated sheet entity / check / observation</x:v>
      </x:c>
      <x:c r="F191" s="18" t="str">
        <x:v>Dimension / evidence; do not sum</x:v>
      </x:c>
      <x:c r="G191" s="18" t="str">
        <x:v>Blank numeric + explicit quality; never invented zero</x:v>
      </x:c>
    </x:row>
    <x:row r="192" ht="65" customHeight="1">
      <x:c r="A192" s="18" t="str">
        <x:v>13_Keyword_Map</x:v>
      </x:c>
      <x:c r="B192" s="18" t="str">
        <x:v>serp_location</x:v>
      </x:c>
      <x:c r="C192" s="18" t="str">
        <x:v>Serp location; see sheet subtitle and companion audit prompt.</x:v>
      </x:c>
      <x:c r="D192" s="18" t="str">
        <x:v>Text</x:v>
      </x:c>
      <x:c r="E192" s="18" t="str">
        <x:v>One record per stated sheet entity / check / observation</x:v>
      </x:c>
      <x:c r="F192" s="18" t="str">
        <x:v>Dimension / evidence; do not sum</x:v>
      </x:c>
      <x:c r="G192" s="18" t="str">
        <x:v>Blank numeric + explicit quality; never invented zero</x:v>
      </x:c>
    </x:row>
    <x:row r="193" ht="65" customHeight="1">
      <x:c r="A193" s="18" t="str">
        <x:v>13_Keyword_Map</x:v>
      </x:c>
      <x:c r="B193" s="18" t="str">
        <x:v>provider</x:v>
      </x:c>
      <x:c r="C193" s="18" t="str">
        <x:v>Provider; see sheet subtitle and companion audit prompt.</x:v>
      </x:c>
      <x:c r="D193" s="18" t="str">
        <x:v>Text</x:v>
      </x:c>
      <x:c r="E193" s="18" t="str">
        <x:v>One record per stated sheet entity / check / observation</x:v>
      </x:c>
      <x:c r="F193" s="18" t="str">
        <x:v>Dimension / evidence; do not sum</x:v>
      </x:c>
      <x:c r="G193" s="18" t="str">
        <x:v>Blank numeric + explicit quality; never invented zero</x:v>
      </x:c>
    </x:row>
    <x:row r="194" ht="65" customHeight="1">
      <x:c r="A194" s="18" t="str">
        <x:v>13_Keyword_Map</x:v>
      </x:c>
      <x:c r="B194" s="18" t="str">
        <x:v>observed_at</x:v>
      </x:c>
      <x:c r="C194" s="18" t="str">
        <x:v>When the evidence was actually observed; distinct from workbook preparation.</x:v>
      </x:c>
      <x:c r="D194" s="18" t="str">
        <x:v>Date / timestamp</x:v>
      </x:c>
      <x:c r="E194" s="18" t="str">
        <x:v>One record per stated sheet entity / check / observation</x:v>
      </x:c>
      <x:c r="F194" s="18" t="str">
        <x:v>Dimension / evidence; do not sum</x:v>
      </x:c>
      <x:c r="G194" s="18" t="str">
        <x:v>Blank numeric + explicit quality; never invented zero</x:v>
      </x:c>
    </x:row>
    <x:row r="195" ht="65" customHeight="1">
      <x:c r="A195" s="18" t="str">
        <x:v>13_Keyword_Map</x:v>
      </x:c>
      <x:c r="B195" s="18" t="str">
        <x:v>opportunity</x:v>
      </x:c>
      <x:c r="C195" s="18" t="str">
        <x:v>Opportunity; see sheet subtitle and companion audit prompt.</x:v>
      </x:c>
      <x:c r="D195" s="18" t="str">
        <x:v>Text</x:v>
      </x:c>
      <x:c r="E195" s="18" t="str">
        <x:v>One record per stated sheet entity / check / observation</x:v>
      </x:c>
      <x:c r="F195" s="18" t="str">
        <x:v>Dimension / evidence; do not sum</x:v>
      </x:c>
      <x:c r="G195" s="18" t="str">
        <x:v>Blank numeric + explicit quality; never invented zero</x:v>
      </x:c>
    </x:row>
    <x:row r="196" ht="65" customHeight="1">
      <x:c r="A196" s="18" t="str">
        <x:v>13_Keyword_Map</x:v>
      </x:c>
      <x:c r="B196" s="18" t="str">
        <x:v>evidence</x:v>
      </x:c>
      <x:c r="C196" s="18" t="str">
        <x:v>Evidence; see sheet subtitle and companion audit prompt.</x:v>
      </x:c>
      <x:c r="D196" s="18" t="str">
        <x:v>Text</x:v>
      </x:c>
      <x:c r="E196" s="18" t="str">
        <x:v>One record per stated sheet entity / check / observation</x:v>
      </x:c>
      <x:c r="F196" s="18" t="str">
        <x:v>Dimension / evidence; do not sum</x:v>
      </x:c>
      <x:c r="G196" s="18" t="str">
        <x:v>Blank numeric + explicit quality; never invented zero</x:v>
      </x:c>
    </x:row>
    <x:row r="197" ht="65" customHeight="1">
      <x:c r="A197" s="18" t="str">
        <x:v>14_Competitors</x:v>
      </x:c>
      <x:c r="B197" s="18" t="str">
        <x:v>observed_at</x:v>
      </x:c>
      <x:c r="C197" s="18" t="str">
        <x:v>When the evidence was actually observed; distinct from workbook preparation.</x:v>
      </x:c>
      <x:c r="D197" s="18" t="str">
        <x:v>Date / timestamp</x:v>
      </x:c>
      <x:c r="E197" s="18" t="str">
        <x:v>One record per stated sheet entity / check / observation</x:v>
      </x:c>
      <x:c r="F197" s="18" t="str">
        <x:v>Dimension / evidence; do not sum</x:v>
      </x:c>
      <x:c r="G197" s="18" t="str">
        <x:v>Blank numeric + explicit quality; never invented zero</x:v>
      </x:c>
    </x:row>
    <x:row r="198" ht="65" customHeight="1">
      <x:c r="A198" s="18" t="str">
        <x:v>14_Competitors</x:v>
      </x:c>
      <x:c r="B198" s="18" t="str">
        <x:v>target_country</x:v>
      </x:c>
      <x:c r="C198" s="18" t="str">
        <x:v>Business/service market targeted by the page, derived from verified routing or content ownership.</x:v>
      </x:c>
      <x:c r="D198" s="18" t="str">
        <x:v>Text</x:v>
      </x:c>
      <x:c r="E198" s="18" t="str">
        <x:v>One record per stated sheet entity / check / observation</x:v>
      </x:c>
      <x:c r="F198" s="18" t="str">
        <x:v>Dimension / evidence; do not sum</x:v>
      </x:c>
      <x:c r="G198" s="18" t="str">
        <x:v>Blank numeric + explicit quality; never invented zero</x:v>
      </x:c>
    </x:row>
    <x:row r="199" ht="65" customHeight="1">
      <x:c r="A199" s="18" t="str">
        <x:v>14_Competitors</x:v>
      </x:c>
      <x:c r="B199" s="18" t="str">
        <x:v>language</x:v>
      </x:c>
      <x:c r="C199" s="18" t="str">
        <x:v>Page content language, not visitor browser language; use with target_country.</x:v>
      </x:c>
      <x:c r="D199" s="18" t="str">
        <x:v>Text</x:v>
      </x:c>
      <x:c r="E199" s="18" t="str">
        <x:v>One record per stated sheet entity / check / observation</x:v>
      </x:c>
      <x:c r="F199" s="18" t="str">
        <x:v>Dimension / evidence; do not sum</x:v>
      </x:c>
      <x:c r="G199" s="18" t="str">
        <x:v>Blank numeric + explicit quality; never invented zero</x:v>
      </x:c>
    </x:row>
    <x:row r="200" ht="65" customHeight="1">
      <x:c r="A200" s="18" t="str">
        <x:v>14_Competitors</x:v>
      </x:c>
      <x:c r="B200" s="18" t="str">
        <x:v>query_cluster</x:v>
      </x:c>
      <x:c r="C200" s="18" t="str">
        <x:v>Query cluster; see sheet subtitle and companion audit prompt.</x:v>
      </x:c>
      <x:c r="D200" s="18" t="str">
        <x:v>Text</x:v>
      </x:c>
      <x:c r="E200" s="18" t="str">
        <x:v>One record per stated sheet entity / check / observation</x:v>
      </x:c>
      <x:c r="F200" s="18" t="str">
        <x:v>Dimension / evidence; do not sum</x:v>
      </x:c>
      <x:c r="G200" s="18" t="str">
        <x:v>Blank numeric + explicit quality; never invented zero</x:v>
      </x:c>
    </x:row>
    <x:row r="201" ht="65" customHeight="1">
      <x:c r="A201" s="18" t="str">
        <x:v>14_Competitors</x:v>
      </x:c>
      <x:c r="B201" s="18" t="str">
        <x:v>competitor_domain</x:v>
      </x:c>
      <x:c r="C201" s="18" t="str">
        <x:v>Competitor domain; see sheet subtitle and companion audit prompt.</x:v>
      </x:c>
      <x:c r="D201" s="18" t="str">
        <x:v>Text</x:v>
      </x:c>
      <x:c r="E201" s="18" t="str">
        <x:v>One record per stated sheet entity / check / observation</x:v>
      </x:c>
      <x:c r="F201" s="18" t="str">
        <x:v>Dimension / evidence; do not sum</x:v>
      </x:c>
      <x:c r="G201" s="18" t="str">
        <x:v>Blank numeric + explicit quality; never invented zero</x:v>
      </x:c>
    </x:row>
    <x:row r="202" ht="65" customHeight="1">
      <x:c r="A202" s="18" t="str">
        <x:v>14_Competitors</x:v>
      </x:c>
      <x:c r="B202" s="18" t="str">
        <x:v>ranking_url</x:v>
      </x:c>
      <x:c r="C202" s="18" t="str">
        <x:v>Ranking url; see sheet subtitle and companion audit prompt.</x:v>
      </x:c>
      <x:c r="D202" s="18" t="str">
        <x:v>Text</x:v>
      </x:c>
      <x:c r="E202" s="18" t="str">
        <x:v>One record per stated sheet entity / check / observation</x:v>
      </x:c>
      <x:c r="F202" s="18" t="str">
        <x:v>Dimension / evidence; do not sum</x:v>
      </x:c>
      <x:c r="G202" s="18" t="str">
        <x:v>Blank numeric + explicit quality; never invented zero</x:v>
      </x:c>
    </x:row>
    <x:row r="203" ht="65" customHeight="1">
      <x:c r="A203" s="18" t="str">
        <x:v>14_Competitors</x:v>
      </x:c>
      <x:c r="B203" s="18" t="str">
        <x:v>serp_position</x:v>
      </x:c>
      <x:c r="C203" s="18" t="str">
        <x:v>Serp position; see sheet subtitle and companion audit prompt.</x:v>
      </x:c>
      <x:c r="D203" s="18" t="str">
        <x:v>Text</x:v>
      </x:c>
      <x:c r="E203" s="18" t="str">
        <x:v>One record per stated sheet entity / check / observation</x:v>
      </x:c>
      <x:c r="F203" s="18" t="str">
        <x:v>Dimension / evidence; do not sum</x:v>
      </x:c>
      <x:c r="G203" s="18" t="str">
        <x:v>Blank numeric + explicit quality; never invented zero</x:v>
      </x:c>
    </x:row>
    <x:row r="204" ht="65" customHeight="1">
      <x:c r="A204" s="18" t="str">
        <x:v>14_Competitors</x:v>
      </x:c>
      <x:c r="B204" s="18" t="str">
        <x:v>intent</x:v>
      </x:c>
      <x:c r="C204" s="18" t="str">
        <x:v>Intent; see sheet subtitle and companion audit prompt.</x:v>
      </x:c>
      <x:c r="D204" s="18" t="str">
        <x:v>Text</x:v>
      </x:c>
      <x:c r="E204" s="18" t="str">
        <x:v>One record per stated sheet entity / check / observation</x:v>
      </x:c>
      <x:c r="F204" s="18" t="str">
        <x:v>Dimension / evidence; do not sum</x:v>
      </x:c>
      <x:c r="G204" s="18" t="str">
        <x:v>Blank numeric + explicit quality; never invented zero</x:v>
      </x:c>
    </x:row>
    <x:row r="205" ht="65" customHeight="1">
      <x:c r="A205" s="18" t="str">
        <x:v>14_Competitors</x:v>
      </x:c>
      <x:c r="B205" s="18" t="str">
        <x:v>content_gap</x:v>
      </x:c>
      <x:c r="C205" s="18" t="str">
        <x:v>Content gap; see sheet subtitle and companion audit prompt.</x:v>
      </x:c>
      <x:c r="D205" s="18" t="str">
        <x:v>Text</x:v>
      </x:c>
      <x:c r="E205" s="18" t="str">
        <x:v>One record per stated sheet entity / check / observation</x:v>
      </x:c>
      <x:c r="F205" s="18" t="str">
        <x:v>Dimension / evidence; do not sum</x:v>
      </x:c>
      <x:c r="G205" s="18" t="str">
        <x:v>Blank numeric + explicit quality; never invented zero</x:v>
      </x:c>
    </x:row>
    <x:row r="206" ht="65" customHeight="1">
      <x:c r="A206" s="18" t="str">
        <x:v>14_Competitors</x:v>
      </x:c>
      <x:c r="B206" s="18" t="str">
        <x:v>trust_gap</x:v>
      </x:c>
      <x:c r="C206" s="18" t="str">
        <x:v>Trust gap; see sheet subtitle and companion audit prompt.</x:v>
      </x:c>
      <x:c r="D206" s="18" t="str">
        <x:v>Text</x:v>
      </x:c>
      <x:c r="E206" s="18" t="str">
        <x:v>One record per stated sheet entity / check / observation</x:v>
      </x:c>
      <x:c r="F206" s="18" t="str">
        <x:v>Dimension / evidence; do not sum</x:v>
      </x:c>
      <x:c r="G206" s="18" t="str">
        <x:v>Blank numeric + explicit quality; never invented zero</x:v>
      </x:c>
    </x:row>
    <x:row r="207" ht="65" customHeight="1">
      <x:c r="A207" s="18" t="str">
        <x:v>14_Competitors</x:v>
      </x:c>
      <x:c r="B207" s="18" t="str">
        <x:v>local_gap</x:v>
      </x:c>
      <x:c r="C207" s="18" t="str">
        <x:v>Local gap; see sheet subtitle and companion audit prompt.</x:v>
      </x:c>
      <x:c r="D207" s="18" t="str">
        <x:v>Text</x:v>
      </x:c>
      <x:c r="E207" s="18" t="str">
        <x:v>One record per stated sheet entity / check / observation</x:v>
      </x:c>
      <x:c r="F207" s="18" t="str">
        <x:v>Dimension / evidence; do not sum</x:v>
      </x:c>
      <x:c r="G207" s="18" t="str">
        <x:v>Blank numeric + explicit quality; never invented zero</x:v>
      </x:c>
    </x:row>
    <x:row r="208" ht="65" customHeight="1">
      <x:c r="A208" s="18" t="str">
        <x:v>14_Competitors</x:v>
      </x:c>
      <x:c r="B208" s="18" t="str">
        <x:v>provider</x:v>
      </x:c>
      <x:c r="C208" s="18" t="str">
        <x:v>Provider; see sheet subtitle and companion audit prompt.</x:v>
      </x:c>
      <x:c r="D208" s="18" t="str">
        <x:v>Text</x:v>
      </x:c>
      <x:c r="E208" s="18" t="str">
        <x:v>One record per stated sheet entity / check / observation</x:v>
      </x:c>
      <x:c r="F208" s="18" t="str">
        <x:v>Dimension / evidence; do not sum</x:v>
      </x:c>
      <x:c r="G208" s="18" t="str">
        <x:v>Blank numeric + explicit quality; never invented zero</x:v>
      </x:c>
    </x:row>
    <x:row r="209" ht="65" customHeight="1">
      <x:c r="A209" s="18" t="str">
        <x:v>14_Competitors</x:v>
      </x:c>
      <x:c r="B209" s="18" t="str">
        <x:v>device</x:v>
      </x:c>
      <x:c r="C209" s="18" t="str">
        <x:v>Device; see sheet subtitle and companion audit prompt.</x:v>
      </x:c>
      <x:c r="D209" s="18" t="str">
        <x:v>Text</x:v>
      </x:c>
      <x:c r="E209" s="18" t="str">
        <x:v>One record per stated sheet entity / check / observation</x:v>
      </x:c>
      <x:c r="F209" s="18" t="str">
        <x:v>Dimension / evidence; do not sum</x:v>
      </x:c>
      <x:c r="G209" s="18" t="str">
        <x:v>Blank numeric + explicit quality; never invented zero</x:v>
      </x:c>
    </x:row>
    <x:row r="210" ht="65" customHeight="1">
      <x:c r="A210" s="18" t="str">
        <x:v>14_Competitors</x:v>
      </x:c>
      <x:c r="B210" s="18" t="str">
        <x:v>location</x:v>
      </x:c>
      <x:c r="C210" s="18" t="str">
        <x:v>Location; see sheet subtitle and companion audit prompt.</x:v>
      </x:c>
      <x:c r="D210" s="18" t="str">
        <x:v>Text</x:v>
      </x:c>
      <x:c r="E210" s="18" t="str">
        <x:v>One record per stated sheet entity / check / observation</x:v>
      </x:c>
      <x:c r="F210" s="18" t="str">
        <x:v>Dimension / evidence; do not sum</x:v>
      </x:c>
      <x:c r="G210" s="18" t="str">
        <x:v>Blank numeric + explicit quality; never invented zero</x:v>
      </x:c>
    </x:row>
    <x:row r="211" ht="65" customHeight="1">
      <x:c r="A211" s="18" t="str">
        <x:v>14_Competitors</x:v>
      </x:c>
      <x:c r="B211" s="18" t="str">
        <x:v>evidence</x:v>
      </x:c>
      <x:c r="C211" s="18" t="str">
        <x:v>Evidence; see sheet subtitle and companion audit prompt.</x:v>
      </x:c>
      <x:c r="D211" s="18" t="str">
        <x:v>Text</x:v>
      </x:c>
      <x:c r="E211" s="18" t="str">
        <x:v>One record per stated sheet entity / check / observation</x:v>
      </x:c>
      <x:c r="F211" s="18" t="str">
        <x:v>Dimension / evidence; do not sum</x:v>
      </x:c>
      <x:c r="G211" s="18" t="str">
        <x:v>Blank numeric + explicit quality; never invented zero</x:v>
      </x:c>
    </x:row>
    <x:row r="212" ht="65" customHeight="1">
      <x:c r="A212" s="18" t="str">
        <x:v>15_Backlinks</x:v>
      </x:c>
      <x:c r="B212" s="18" t="str">
        <x:v>observed_at</x:v>
      </x:c>
      <x:c r="C212" s="18" t="str">
        <x:v>When the evidence was actually observed; distinct from workbook preparation.</x:v>
      </x:c>
      <x:c r="D212" s="18" t="str">
        <x:v>Date / timestamp</x:v>
      </x:c>
      <x:c r="E212" s="18" t="str">
        <x:v>One record per stated sheet entity / check / observation</x:v>
      </x:c>
      <x:c r="F212" s="18" t="str">
        <x:v>Dimension / evidence; do not sum</x:v>
      </x:c>
      <x:c r="G212" s="18" t="str">
        <x:v>Blank numeric + explicit quality; never invented zero</x:v>
      </x:c>
    </x:row>
    <x:row r="213" ht="65" customHeight="1">
      <x:c r="A213" s="18" t="str">
        <x:v>15_Backlinks</x:v>
      </x:c>
      <x:c r="B213" s="18" t="str">
        <x:v>target_country</x:v>
      </x:c>
      <x:c r="C213" s="18" t="str">
        <x:v>Business/service market targeted by the page, derived from verified routing or content ownership.</x:v>
      </x:c>
      <x:c r="D213" s="18" t="str">
        <x:v>Text</x:v>
      </x:c>
      <x:c r="E213" s="18" t="str">
        <x:v>One record per stated sheet entity / check / observation</x:v>
      </x:c>
      <x:c r="F213" s="18" t="str">
        <x:v>Dimension / evidence; do not sum</x:v>
      </x:c>
      <x:c r="G213" s="18" t="str">
        <x:v>Blank numeric + explicit quality; never invented zero</x:v>
      </x:c>
    </x:row>
    <x:row r="214" ht="65" customHeight="1">
      <x:c r="A214" s="18" t="str">
        <x:v>15_Backlinks</x:v>
      </x:c>
      <x:c r="B214" s="18" t="str">
        <x:v>source_domain</x:v>
      </x:c>
      <x:c r="C214" s="18" t="str">
        <x:v>Source domain; see sheet subtitle and companion audit prompt.</x:v>
      </x:c>
      <x:c r="D214" s="18" t="str">
        <x:v>Text</x:v>
      </x:c>
      <x:c r="E214" s="18" t="str">
        <x:v>One record per stated sheet entity / check / observation</x:v>
      </x:c>
      <x:c r="F214" s="18" t="str">
        <x:v>Dimension / evidence; do not sum</x:v>
      </x:c>
      <x:c r="G214" s="18" t="str">
        <x:v>Blank numeric + explicit quality; never invented zero</x:v>
      </x:c>
    </x:row>
    <x:row r="215" ht="65" customHeight="1">
      <x:c r="A215" s="18" t="str">
        <x:v>15_Backlinks</x:v>
      </x:c>
      <x:c r="B215" s="18" t="str">
        <x:v>source_url</x:v>
      </x:c>
      <x:c r="C215" s="18" t="str">
        <x:v>Public or repository evidence URL; no secret-bearing URLs.</x:v>
      </x:c>
      <x:c r="D215" s="18" t="str">
        <x:v>Text</x:v>
      </x:c>
      <x:c r="E215" s="18" t="str">
        <x:v>One record per stated sheet entity / check / observation</x:v>
      </x:c>
      <x:c r="F215" s="18" t="str">
        <x:v>Dimension / evidence; do not sum</x:v>
      </x:c>
      <x:c r="G215" s="18" t="str">
        <x:v>Blank numeric + explicit quality; never invented zero</x:v>
      </x:c>
    </x:row>
    <x:row r="216" ht="65" customHeight="1">
      <x:c r="A216" s="18" t="str">
        <x:v>15_Backlinks</x:v>
      </x:c>
      <x:c r="B216" s="18" t="str">
        <x:v>target_url_id</x:v>
      </x:c>
      <x:c r="C216" s="18" t="str">
        <x:v>Target url id; see sheet subtitle and companion audit prompt.</x:v>
      </x:c>
      <x:c r="D216" s="18" t="str">
        <x:v>Text</x:v>
      </x:c>
      <x:c r="E216" s="18" t="str">
        <x:v>One record per stated sheet entity / check / observation</x:v>
      </x:c>
      <x:c r="F216" s="18" t="str">
        <x:v>Dimension / evidence; do not sum</x:v>
      </x:c>
      <x:c r="G216" s="18" t="str">
        <x:v>Blank numeric + explicit quality; never invented zero</x:v>
      </x:c>
    </x:row>
    <x:row r="217" ht="65" customHeight="1">
      <x:c r="A217" s="18" t="str">
        <x:v>15_Backlinks</x:v>
      </x:c>
      <x:c r="B217" s="18" t="str">
        <x:v>target_url</x:v>
      </x:c>
      <x:c r="C217" s="18" t="str">
        <x:v>Target url; see sheet subtitle and companion audit prompt.</x:v>
      </x:c>
      <x:c r="D217" s="18" t="str">
        <x:v>Text</x:v>
      </x:c>
      <x:c r="E217" s="18" t="str">
        <x:v>One record per stated sheet entity / check / observation</x:v>
      </x:c>
      <x:c r="F217" s="18" t="str">
        <x:v>Dimension / evidence; do not sum</x:v>
      </x:c>
      <x:c r="G217" s="18" t="str">
        <x:v>Blank numeric + explicit quality; never invented zero</x:v>
      </x:c>
    </x:row>
    <x:row r="218" ht="65" customHeight="1">
      <x:c r="A218" s="18" t="str">
        <x:v>15_Backlinks</x:v>
      </x:c>
      <x:c r="B218" s="18" t="str">
        <x:v>anchor</x:v>
      </x:c>
      <x:c r="C218" s="18" t="str">
        <x:v>Anchor; see sheet subtitle and companion audit prompt.</x:v>
      </x:c>
      <x:c r="D218" s="18" t="str">
        <x:v>Text</x:v>
      </x:c>
      <x:c r="E218" s="18" t="str">
        <x:v>One record per stated sheet entity / check / observation</x:v>
      </x:c>
      <x:c r="F218" s="18" t="str">
        <x:v>Dimension / evidence; do not sum</x:v>
      </x:c>
      <x:c r="G218" s="18" t="str">
        <x:v>Blank numeric + explicit quality; never invented zero</x:v>
      </x:c>
    </x:row>
    <x:row r="219" ht="65" customHeight="1">
      <x:c r="A219" s="18" t="str">
        <x:v>15_Backlinks</x:v>
      </x:c>
      <x:c r="B219" s="18" t="str">
        <x:v>rel_attribute</x:v>
      </x:c>
      <x:c r="C219" s="18" t="str">
        <x:v>Rel attribute; see sheet subtitle and companion audit prompt.</x:v>
      </x:c>
      <x:c r="D219" s="18" t="str">
        <x:v>Text</x:v>
      </x:c>
      <x:c r="E219" s="18" t="str">
        <x:v>One record per stated sheet entity / check / observation</x:v>
      </x:c>
      <x:c r="F219" s="18" t="str">
        <x:v>Dimension / evidence; do not sum</x:v>
      </x:c>
      <x:c r="G219" s="18" t="str">
        <x:v>Blank numeric + explicit quality; never invented zero</x:v>
      </x:c>
    </x:row>
    <x:row r="220" ht="65" customHeight="1">
      <x:c r="A220" s="18" t="str">
        <x:v>15_Backlinks</x:v>
      </x:c>
      <x:c r="B220" s="18" t="str">
        <x:v>link_status</x:v>
      </x:c>
      <x:c r="C220" s="18" t="str">
        <x:v>Link status; see sheet subtitle and companion audit prompt.</x:v>
      </x:c>
      <x:c r="D220" s="18" t="str">
        <x:v>Text</x:v>
      </x:c>
      <x:c r="E220" s="18" t="str">
        <x:v>One record per stated sheet entity / check / observation</x:v>
      </x:c>
      <x:c r="F220" s="18" t="str">
        <x:v>Dimension / evidence; do not sum</x:v>
      </x:c>
      <x:c r="G220" s="18" t="str">
        <x:v>Blank numeric + explicit quality; never invented zero</x:v>
      </x:c>
    </x:row>
    <x:row r="221" ht="65" customHeight="1">
      <x:c r="A221" s="18" t="str">
        <x:v>15_Backlinks</x:v>
      </x:c>
      <x:c r="B221" s="18" t="str">
        <x:v>first_seen</x:v>
      </x:c>
      <x:c r="C221" s="18" t="str">
        <x:v>First seen; see sheet subtitle and companion audit prompt.</x:v>
      </x:c>
      <x:c r="D221" s="18" t="str">
        <x:v>Text</x:v>
      </x:c>
      <x:c r="E221" s="18" t="str">
        <x:v>One record per stated sheet entity / check / observation</x:v>
      </x:c>
      <x:c r="F221" s="18" t="str">
        <x:v>Dimension / evidence; do not sum</x:v>
      </x:c>
      <x:c r="G221" s="18" t="str">
        <x:v>Blank numeric + explicit quality; never invented zero</x:v>
      </x:c>
    </x:row>
    <x:row r="222" ht="65" customHeight="1">
      <x:c r="A222" s="18" t="str">
        <x:v>15_Backlinks</x:v>
      </x:c>
      <x:c r="B222" s="18" t="str">
        <x:v>last_seen</x:v>
      </x:c>
      <x:c r="C222" s="18" t="str">
        <x:v>Last seen; see sheet subtitle and companion audit prompt.</x:v>
      </x:c>
      <x:c r="D222" s="18" t="str">
        <x:v>Text</x:v>
      </x:c>
      <x:c r="E222" s="18" t="str">
        <x:v>One record per stated sheet entity / check / observation</x:v>
      </x:c>
      <x:c r="F222" s="18" t="str">
        <x:v>Dimension / evidence; do not sum</x:v>
      </x:c>
      <x:c r="G222" s="18" t="str">
        <x:v>Blank numeric + explicit quality; never invented zero</x:v>
      </x:c>
    </x:row>
    <x:row r="223" ht="65" customHeight="1">
      <x:c r="A223" s="18" t="str">
        <x:v>15_Backlinks</x:v>
      </x:c>
      <x:c r="B223" s="18" t="str">
        <x:v>relevance</x:v>
      </x:c>
      <x:c r="C223" s="18" t="str">
        <x:v>Relevance; see sheet subtitle and companion audit prompt.</x:v>
      </x:c>
      <x:c r="D223" s="18" t="str">
        <x:v>Text</x:v>
      </x:c>
      <x:c r="E223" s="18" t="str">
        <x:v>One record per stated sheet entity / check / observation</x:v>
      </x:c>
      <x:c r="F223" s="18" t="str">
        <x:v>Dimension / evidence; do not sum</x:v>
      </x:c>
      <x:c r="G223" s="18" t="str">
        <x:v>Blank numeric + explicit quality; never invented zero</x:v>
      </x:c>
    </x:row>
    <x:row r="224" ht="65" customHeight="1">
      <x:c r="A224" s="18" t="str">
        <x:v>15_Backlinks</x:v>
      </x:c>
      <x:c r="B224" s="18" t="str">
        <x:v>provider_metric_name</x:v>
      </x:c>
      <x:c r="C224" s="18" t="str">
        <x:v>Provider metric name; see sheet subtitle and companion audit prompt.</x:v>
      </x:c>
      <x:c r="D224" s="18" t="str">
        <x:v>Text</x:v>
      </x:c>
      <x:c r="E224" s="18" t="str">
        <x:v>One record per stated sheet entity / check / observation</x:v>
      </x:c>
      <x:c r="F224" s="18" t="str">
        <x:v>Dimension / evidence; do not sum</x:v>
      </x:c>
      <x:c r="G224" s="18" t="str">
        <x:v>Blank numeric + explicit quality; never invented zero</x:v>
      </x:c>
    </x:row>
    <x:row r="225" ht="65" customHeight="1">
      <x:c r="A225" s="18" t="str">
        <x:v>15_Backlinks</x:v>
      </x:c>
      <x:c r="B225" s="18" t="str">
        <x:v>provider_metric_value</x:v>
      </x:c>
      <x:c r="C225" s="18" t="str">
        <x:v>Provider metric value; see sheet subtitle and companion audit prompt.</x:v>
      </x:c>
      <x:c r="D225" s="18" t="str">
        <x:v>Text</x:v>
      </x:c>
      <x:c r="E225" s="18" t="str">
        <x:v>One record per stated sheet entity / check / observation</x:v>
      </x:c>
      <x:c r="F225" s="18" t="str">
        <x:v>Dimension / evidence; do not sum</x:v>
      </x:c>
      <x:c r="G225" s="18" t="str">
        <x:v>Blank numeric + explicit quality; never invented zero</x:v>
      </x:c>
    </x:row>
    <x:row r="226" ht="65" customHeight="1">
      <x:c r="A226" s="18" t="str">
        <x:v>15_Backlinks</x:v>
      </x:c>
      <x:c r="B226" s="18" t="str">
        <x:v>opportunity</x:v>
      </x:c>
      <x:c r="C226" s="18" t="str">
        <x:v>Opportunity; see sheet subtitle and companion audit prompt.</x:v>
      </x:c>
      <x:c r="D226" s="18" t="str">
        <x:v>Text</x:v>
      </x:c>
      <x:c r="E226" s="18" t="str">
        <x:v>One record per stated sheet entity / check / observation</x:v>
      </x:c>
      <x:c r="F226" s="18" t="str">
        <x:v>Dimension / evidence; do not sum</x:v>
      </x:c>
      <x:c r="G226" s="18" t="str">
        <x:v>Blank numeric + explicit quality; never invented zero</x:v>
      </x:c>
    </x:row>
    <x:row r="227" ht="65" customHeight="1">
      <x:c r="A227" s="18" t="str">
        <x:v>15_Backlinks</x:v>
      </x:c>
      <x:c r="B227" s="18" t="str">
        <x:v>owner</x:v>
      </x:c>
      <x:c r="C227" s="18" t="str">
        <x:v>Owner; see sheet subtitle and companion audit prompt.</x:v>
      </x:c>
      <x:c r="D227" s="18" t="str">
        <x:v>Text</x:v>
      </x:c>
      <x:c r="E227" s="18" t="str">
        <x:v>One record per stated sheet entity / check / observation</x:v>
      </x:c>
      <x:c r="F227" s="18" t="str">
        <x:v>Dimension / evidence; do not sum</x:v>
      </x:c>
      <x:c r="G227" s="18" t="str">
        <x:v>Blank numeric + explicit quality; never invented zero</x:v>
      </x:c>
    </x:row>
    <x:row r="228" ht="65" customHeight="1">
      <x:c r="A228" s="18" t="str">
        <x:v>15_Backlinks</x:v>
      </x:c>
      <x:c r="B228" s="18" t="str">
        <x:v>evidence</x:v>
      </x:c>
      <x:c r="C228" s="18" t="str">
        <x:v>Evidence; see sheet subtitle and companion audit prompt.</x:v>
      </x:c>
      <x:c r="D228" s="18" t="str">
        <x:v>Text</x:v>
      </x:c>
      <x:c r="E228" s="18" t="str">
        <x:v>One record per stated sheet entity / check / observation</x:v>
      </x:c>
      <x:c r="F228" s="18" t="str">
        <x:v>Dimension / evidence; do not sum</x:v>
      </x:c>
      <x:c r="G228" s="18" t="str">
        <x:v>Blank numeric + explicit quality; never invented zero</x:v>
      </x:c>
    </x:row>
    <x:row r="229" ht="65" customHeight="1">
      <x:c r="A229" s="18" t="str">
        <x:v>16_Content_Review</x:v>
      </x:c>
      <x:c r="B229" s="18" t="str">
        <x:v>review_id</x:v>
      </x:c>
      <x:c r="C229" s="18" t="str">
        <x:v>Review id; see sheet subtitle and companion audit prompt.</x:v>
      </x:c>
      <x:c r="D229" s="18" t="str">
        <x:v>Text</x:v>
      </x:c>
      <x:c r="E229" s="18" t="str">
        <x:v>One record per stated sheet entity / check / observation</x:v>
      </x:c>
      <x:c r="F229" s="18" t="str">
        <x:v>Dimension / evidence; do not sum</x:v>
      </x:c>
      <x:c r="G229" s="18" t="str">
        <x:v>Blank numeric + explicit quality; never invented zero</x:v>
      </x:c>
    </x:row>
    <x:row r="230" ht="65" customHeight="1">
      <x:c r="A230" s="18" t="str">
        <x:v>16_Content_Review</x:v>
      </x:c>
      <x:c r="B230" s="18" t="str">
        <x:v>url_id</x:v>
      </x:c>
      <x:c r="C230" s="18" t="str">
        <x:v>Stable URL identity used to join URL-level tables; maintain historical URL mapping.</x:v>
      </x:c>
      <x:c r="D230" s="18" t="str">
        <x:v>Text</x:v>
      </x:c>
      <x:c r="E230" s="18" t="str">
        <x:v>One record per stated sheet entity / check / observation</x:v>
      </x:c>
      <x:c r="F230" s="18" t="str">
        <x:v>Dimension / evidence; do not sum</x:v>
      </x:c>
      <x:c r="G230" s="18" t="str">
        <x:v>Blank numeric + explicit quality; never invented zero</x:v>
      </x:c>
    </x:row>
    <x:row r="231" ht="65" customHeight="1">
      <x:c r="A231" s="18" t="str">
        <x:v>16_Content_Review</x:v>
      </x:c>
      <x:c r="B231" s="18" t="str">
        <x:v>target_country</x:v>
      </x:c>
      <x:c r="C231" s="18" t="str">
        <x:v>Business/service market targeted by the page, derived from verified routing or content ownership.</x:v>
      </x:c>
      <x:c r="D231" s="18" t="str">
        <x:v>Text</x:v>
      </x:c>
      <x:c r="E231" s="18" t="str">
        <x:v>One record per stated sheet entity / check / observation</x:v>
      </x:c>
      <x:c r="F231" s="18" t="str">
        <x:v>Dimension / evidence; do not sum</x:v>
      </x:c>
      <x:c r="G231" s="18" t="str">
        <x:v>Blank numeric + explicit quality; never invented zero</x:v>
      </x:c>
    </x:row>
    <x:row r="232" ht="65" customHeight="1">
      <x:c r="A232" s="18" t="str">
        <x:v>16_Content_Review</x:v>
      </x:c>
      <x:c r="B232" s="18" t="str">
        <x:v>language</x:v>
      </x:c>
      <x:c r="C232" s="18" t="str">
        <x:v>Page content language, not visitor browser language; use with target_country.</x:v>
      </x:c>
      <x:c r="D232" s="18" t="str">
        <x:v>Text</x:v>
      </x:c>
      <x:c r="E232" s="18" t="str">
        <x:v>One record per stated sheet entity / check / observation</x:v>
      </x:c>
      <x:c r="F232" s="18" t="str">
        <x:v>Dimension / evidence; do not sum</x:v>
      </x:c>
      <x:c r="G232" s="18" t="str">
        <x:v>Blank numeric + explicit quality; never invented zero</x:v>
      </x:c>
    </x:row>
    <x:row r="233" ht="65" customHeight="1">
      <x:c r="A233" s="18" t="str">
        <x:v>16_Content_Review</x:v>
      </x:c>
      <x:c r="B233" s="18" t="str">
        <x:v>entity_source</x:v>
      </x:c>
      <x:c r="C233" s="18" t="str">
        <x:v>Entity source; see sheet subtitle and companion audit prompt.</x:v>
      </x:c>
      <x:c r="D233" s="18" t="str">
        <x:v>Text</x:v>
      </x:c>
      <x:c r="E233" s="18" t="str">
        <x:v>One record per stated sheet entity / check / observation</x:v>
      </x:c>
      <x:c r="F233" s="18" t="str">
        <x:v>Dimension / evidence; do not sum</x:v>
      </x:c>
      <x:c r="G233" s="18" t="str">
        <x:v>Blank numeric + explicit quality; never invented zero</x:v>
      </x:c>
    </x:row>
    <x:row r="234" ht="65" customHeight="1">
      <x:c r="A234" s="18" t="str">
        <x:v>16_Content_Review</x:v>
      </x:c>
      <x:c r="B234" s="18" t="str">
        <x:v>issue</x:v>
      </x:c>
      <x:c r="C234" s="18" t="str">
        <x:v>Issue; see sheet subtitle and companion audit prompt.</x:v>
      </x:c>
      <x:c r="D234" s="18" t="str">
        <x:v>Text</x:v>
      </x:c>
      <x:c r="E234" s="18" t="str">
        <x:v>One record per stated sheet entity / check / observation</x:v>
      </x:c>
      <x:c r="F234" s="18" t="str">
        <x:v>Dimension / evidence; do not sum</x:v>
      </x:c>
      <x:c r="G234" s="18" t="str">
        <x:v>Blank numeric + explicit quality; never invented zero</x:v>
      </x:c>
    </x:row>
    <x:row r="235" ht="65" customHeight="1">
      <x:c r="A235" s="18" t="str">
        <x:v>16_Content_Review</x:v>
      </x:c>
      <x:c r="B235" s="18" t="str">
        <x:v>current_excerpt</x:v>
      </x:c>
      <x:c r="C235" s="18" t="str">
        <x:v>Current excerpt; see sheet subtitle and companion audit prompt.</x:v>
      </x:c>
      <x:c r="D235" s="18" t="str">
        <x:v>Text</x:v>
      </x:c>
      <x:c r="E235" s="18" t="str">
        <x:v>One record per stated sheet entity / check / observation</x:v>
      </x:c>
      <x:c r="F235" s="18" t="str">
        <x:v>Dimension / evidence; do not sum</x:v>
      </x:c>
      <x:c r="G235" s="18" t="str">
        <x:v>Blank numeric + explicit quality; never invented zero</x:v>
      </x:c>
    </x:row>
    <x:row r="236" ht="65" customHeight="1">
      <x:c r="A236" s="18" t="str">
        <x:v>16_Content_Review</x:v>
      </x:c>
      <x:c r="B236" s="18" t="str">
        <x:v>recommended_action</x:v>
      </x:c>
      <x:c r="C236" s="18" t="str">
        <x:v>Recommended action; see sheet subtitle and companion audit prompt.</x:v>
      </x:c>
      <x:c r="D236" s="18" t="str">
        <x:v>Text</x:v>
      </x:c>
      <x:c r="E236" s="18" t="str">
        <x:v>One record per stated sheet entity / check / observation</x:v>
      </x:c>
      <x:c r="F236" s="18" t="str">
        <x:v>Dimension / evidence; do not sum</x:v>
      </x:c>
      <x:c r="G236" s="18" t="str">
        <x:v>Blank numeric + explicit quality; never invented zero</x:v>
      </x:c>
    </x:row>
    <x:row r="237" ht="65" customHeight="1">
      <x:c r="A237" s="18" t="str">
        <x:v>16_Content_Review</x:v>
      </x:c>
      <x:c r="B237" s="18" t="str">
        <x:v>factual_source</x:v>
      </x:c>
      <x:c r="C237" s="18" t="str">
        <x:v>Factual source; see sheet subtitle and companion audit prompt.</x:v>
      </x:c>
      <x:c r="D237" s="18" t="str">
        <x:v>Text</x:v>
      </x:c>
      <x:c r="E237" s="18" t="str">
        <x:v>One record per stated sheet entity / check / observation</x:v>
      </x:c>
      <x:c r="F237" s="18" t="str">
        <x:v>Dimension / evidence; do not sum</x:v>
      </x:c>
      <x:c r="G237" s="18" t="str">
        <x:v>Blank numeric + explicit quality; never invented zero</x:v>
      </x:c>
    </x:row>
    <x:row r="238" ht="65" customHeight="1">
      <x:c r="A238" s="18" t="str">
        <x:v>16_Content_Review</x:v>
      </x:c>
      <x:c r="B238" s="18" t="str">
        <x:v>clinical_review_status</x:v>
      </x:c>
      <x:c r="C238" s="18" t="str">
        <x:v>Evidence-backed review state under existing publication controls; do not infer approval.</x:v>
      </x:c>
      <x:c r="D238" s="18" t="str">
        <x:v>Text</x:v>
      </x:c>
      <x:c r="E238" s="18" t="str">
        <x:v>One record per stated sheet entity / check / observation</x:v>
      </x:c>
      <x:c r="F238" s="18" t="str">
        <x:v>Dimension / evidence; do not sum</x:v>
      </x:c>
      <x:c r="G238" s="18" t="str">
        <x:v>Blank numeric + explicit quality; never invented zero</x:v>
      </x:c>
    </x:row>
    <x:row r="239" ht="65" customHeight="1">
      <x:c r="A239" s="18" t="str">
        <x:v>16_Content_Review</x:v>
      </x:c>
      <x:c r="B239" s="18" t="str">
        <x:v>native_editor_status</x:v>
      </x:c>
      <x:c r="C239" s="18" t="str">
        <x:v>Native editor status; see sheet subtitle and companion audit prompt.</x:v>
      </x:c>
      <x:c r="D239" s="18" t="str">
        <x:v>Text</x:v>
      </x:c>
      <x:c r="E239" s="18" t="str">
        <x:v>One record per stated sheet entity / check / observation</x:v>
      </x:c>
      <x:c r="F239" s="18" t="str">
        <x:v>Dimension / evidence; do not sum</x:v>
      </x:c>
      <x:c r="G239" s="18" t="str">
        <x:v>Blank numeric + explicit quality; never invented zero</x:v>
      </x:c>
    </x:row>
    <x:row r="240" ht="65" customHeight="1">
      <x:c r="A240" s="18" t="str">
        <x:v>16_Content_Review</x:v>
      </x:c>
      <x:c r="B240" s="18" t="str">
        <x:v>copy_approval_status</x:v>
      </x:c>
      <x:c r="C240" s="18" t="str">
        <x:v>Copy approval status; see sheet subtitle and companion audit prompt.</x:v>
      </x:c>
      <x:c r="D240" s="18" t="str">
        <x:v>Text</x:v>
      </x:c>
      <x:c r="E240" s="18" t="str">
        <x:v>One record per stated sheet entity / check / observation</x:v>
      </x:c>
      <x:c r="F240" s="18" t="str">
        <x:v>Dimension / evidence; do not sum</x:v>
      </x:c>
      <x:c r="G240" s="18" t="str">
        <x:v>Blank numeric + explicit quality; never invented zero</x:v>
      </x:c>
    </x:row>
    <x:row r="241" ht="65" customHeight="1">
      <x:c r="A241" s="18" t="str">
        <x:v>16_Content_Review</x:v>
      </x:c>
      <x:c r="B241" s="18" t="str">
        <x:v>approved_copy_hash</x:v>
      </x:c>
      <x:c r="C241" s="18" t="str">
        <x:v>Approved copy hash; see sheet subtitle and companion audit prompt.</x:v>
      </x:c>
      <x:c r="D241" s="18" t="str">
        <x:v>Text</x:v>
      </x:c>
      <x:c r="E241" s="18" t="str">
        <x:v>One record per stated sheet entity / check / observation</x:v>
      </x:c>
      <x:c r="F241" s="18" t="str">
        <x:v>Dimension / evidence; do not sum</x:v>
      </x:c>
      <x:c r="G241" s="18" t="str">
        <x:v>Blank numeric + explicit quality; never invented zero</x:v>
      </x:c>
    </x:row>
    <x:row r="242" ht="65" customHeight="1">
      <x:c r="A242" s="18" t="str">
        <x:v>16_Content_Review</x:v>
      </x:c>
      <x:c r="B242" s="18" t="str">
        <x:v>owner</x:v>
      </x:c>
      <x:c r="C242" s="18" t="str">
        <x:v>Owner; see sheet subtitle and companion audit prompt.</x:v>
      </x:c>
      <x:c r="D242" s="18" t="str">
        <x:v>Text</x:v>
      </x:c>
      <x:c r="E242" s="18" t="str">
        <x:v>One record per stated sheet entity / check / observation</x:v>
      </x:c>
      <x:c r="F242" s="18" t="str">
        <x:v>Dimension / evidence; do not sum</x:v>
      </x:c>
      <x:c r="G242" s="18" t="str">
        <x:v>Blank numeric + explicit quality; never invented zero</x:v>
      </x:c>
    </x:row>
    <x:row r="243" ht="65" customHeight="1">
      <x:c r="A243" s="18" t="str">
        <x:v>16_Content_Review</x:v>
      </x:c>
      <x:c r="B243" s="18" t="str">
        <x:v>evidence</x:v>
      </x:c>
      <x:c r="C243" s="18" t="str">
        <x:v>Evidence; see sheet subtitle and companion audit prompt.</x:v>
      </x:c>
      <x:c r="D243" s="18" t="str">
        <x:v>Text</x:v>
      </x:c>
      <x:c r="E243" s="18" t="str">
        <x:v>One record per stated sheet entity / check / observation</x:v>
      </x:c>
      <x:c r="F243" s="18" t="str">
        <x:v>Dimension / evidence; do not sum</x:v>
      </x:c>
      <x:c r="G243" s="18" t="str">
        <x:v>Blank numeric + explicit quality; never invented zero</x:v>
      </x:c>
    </x:row>
    <x:row r="244" ht="65" customHeight="1">
      <x:c r="A244" s="18" t="str">
        <x:v>17_pSEO_Plan</x:v>
      </x:c>
      <x:c r="B244" s="18" t="str">
        <x:v>candidate_id</x:v>
      </x:c>
      <x:c r="C244" s="18" t="str">
        <x:v>Candidate id; see sheet subtitle and companion audit prompt.</x:v>
      </x:c>
      <x:c r="D244" s="18" t="str">
        <x:v>Text</x:v>
      </x:c>
      <x:c r="E244" s="18" t="str">
        <x:v>One record per stated sheet entity / check / observation</x:v>
      </x:c>
      <x:c r="F244" s="18" t="str">
        <x:v>Dimension / evidence; do not sum</x:v>
      </x:c>
      <x:c r="G244" s="18" t="str">
        <x:v>Blank numeric + explicit quality; never invented zero</x:v>
      </x:c>
    </x:row>
    <x:row r="245" ht="65" customHeight="1">
      <x:c r="A245" s="18" t="str">
        <x:v>17_pSEO_Plan</x:v>
      </x:c>
      <x:c r="B245" s="18" t="str">
        <x:v>target_market</x:v>
      </x:c>
      <x:c r="C245" s="18" t="str">
        <x:v>Target market; see sheet subtitle and companion audit prompt.</x:v>
      </x:c>
      <x:c r="D245" s="18" t="str">
        <x:v>Text</x:v>
      </x:c>
      <x:c r="E245" s="18" t="str">
        <x:v>One record per stated sheet entity / check / observation</x:v>
      </x:c>
      <x:c r="F245" s="18" t="str">
        <x:v>Dimension / evidence; do not sum</x:v>
      </x:c>
      <x:c r="G245" s="18" t="str">
        <x:v>Blank numeric + explicit quality; never invented zero</x:v>
      </x:c>
    </x:row>
    <x:row r="246" ht="65" customHeight="1">
      <x:c r="A246" s="18" t="str">
        <x:v>17_pSEO_Plan</x:v>
      </x:c>
      <x:c r="B246" s="18" t="str">
        <x:v>locale_scope</x:v>
      </x:c>
      <x:c r="C246" s="18" t="str">
        <x:v>Locale scope; see sheet subtitle and companion audit prompt.</x:v>
      </x:c>
      <x:c r="D246" s="18" t="str">
        <x:v>Text</x:v>
      </x:c>
      <x:c r="E246" s="18" t="str">
        <x:v>One record per stated sheet entity / check / observation</x:v>
      </x:c>
      <x:c r="F246" s="18" t="str">
        <x:v>Dimension / evidence; do not sum</x:v>
      </x:c>
      <x:c r="G246" s="18" t="str">
        <x:v>Blank numeric + explicit quality; never invented zero</x:v>
      </x:c>
    </x:row>
    <x:row r="247" ht="65" customHeight="1">
      <x:c r="A247" s="18" t="str">
        <x:v>17_pSEO_Plan</x:v>
      </x:c>
      <x:c r="B247" s="18" t="str">
        <x:v>proposed_page_family</x:v>
      </x:c>
      <x:c r="C247" s="18" t="str">
        <x:v>Proposed page family; see sheet subtitle and companion audit prompt.</x:v>
      </x:c>
      <x:c r="D247" s="18" t="str">
        <x:v>Text</x:v>
      </x:c>
      <x:c r="E247" s="18" t="str">
        <x:v>One record per stated sheet entity / check / observation</x:v>
      </x:c>
      <x:c r="F247" s="18" t="str">
        <x:v>Dimension / evidence; do not sum</x:v>
      </x:c>
      <x:c r="G247" s="18" t="str">
        <x:v>Blank numeric + explicit quality; never invented zero</x:v>
      </x:c>
    </x:row>
    <x:row r="248" ht="65" customHeight="1">
      <x:c r="A248" s="18" t="str">
        <x:v>17_pSEO_Plan</x:v>
      </x:c>
      <x:c r="B248" s="18" t="str">
        <x:v>existing_inventory_check</x:v>
      </x:c>
      <x:c r="C248" s="18" t="str">
        <x:v>Existing inventory check; see sheet subtitle and companion audit prompt.</x:v>
      </x:c>
      <x:c r="D248" s="18" t="str">
        <x:v>Text</x:v>
      </x:c>
      <x:c r="E248" s="18" t="str">
        <x:v>One record per stated sheet entity / check / observation</x:v>
      </x:c>
      <x:c r="F248" s="18" t="str">
        <x:v>Dimension / evidence; do not sum</x:v>
      </x:c>
      <x:c r="G248" s="18" t="str">
        <x:v>Blank numeric + explicit quality; never invented zero</x:v>
      </x:c>
    </x:row>
    <x:row r="249" ht="65" customHeight="1">
      <x:c r="A249" s="18" t="str">
        <x:v>17_pSEO_Plan</x:v>
      </x:c>
      <x:c r="B249" s="18" t="str">
        <x:v>validated_demand</x:v>
      </x:c>
      <x:c r="C249" s="18" t="str">
        <x:v>Validated demand; see sheet subtitle and companion audit prompt.</x:v>
      </x:c>
      <x:c r="D249" s="18" t="str">
        <x:v>Text</x:v>
      </x:c>
      <x:c r="E249" s="18" t="str">
        <x:v>One record per stated sheet entity / check / observation</x:v>
      </x:c>
      <x:c r="F249" s="18" t="str">
        <x:v>Dimension / evidence; do not sum</x:v>
      </x:c>
      <x:c r="G249" s="18" t="str">
        <x:v>Blank numeric + explicit quality; never invented zero</x:v>
      </x:c>
    </x:row>
    <x:row r="250" ht="65" customHeight="1">
      <x:c r="A250" s="18" t="str">
        <x:v>17_pSEO_Plan</x:v>
      </x:c>
      <x:c r="B250" s="18" t="str">
        <x:v>unique_data_available</x:v>
      </x:c>
      <x:c r="C250" s="18" t="str">
        <x:v>Unique data available; see sheet subtitle and companion audit prompt.</x:v>
      </x:c>
      <x:c r="D250" s="18" t="str">
        <x:v>Text</x:v>
      </x:c>
      <x:c r="E250" s="18" t="str">
        <x:v>One record per stated sheet entity / check / observation</x:v>
      </x:c>
      <x:c r="F250" s="18" t="str">
        <x:v>Dimension / evidence; do not sum</x:v>
      </x:c>
      <x:c r="G250" s="18" t="str">
        <x:v>Blank numeric + explicit quality; never invented zero</x:v>
      </x:c>
    </x:row>
    <x:row r="251" ht="65" customHeight="1">
      <x:c r="A251" s="18" t="str">
        <x:v>17_pSEO_Plan</x:v>
      </x:c>
      <x:c r="B251" s="18" t="str">
        <x:v>local_usefulness</x:v>
      </x:c>
      <x:c r="C251" s="18" t="str">
        <x:v>Local usefulness; see sheet subtitle and companion audit prompt.</x:v>
      </x:c>
      <x:c r="D251" s="18" t="str">
        <x:v>Text</x:v>
      </x:c>
      <x:c r="E251" s="18" t="str">
        <x:v>One record per stated sheet entity / check / observation</x:v>
      </x:c>
      <x:c r="F251" s="18" t="str">
        <x:v>Dimension / evidence; do not sum</x:v>
      </x:c>
      <x:c r="G251" s="18" t="str">
        <x:v>Blank numeric + explicit quality; never invented zero</x:v>
      </x:c>
    </x:row>
    <x:row r="252" ht="65" customHeight="1">
      <x:c r="A252" s="18" t="str">
        <x:v>17_pSEO_Plan</x:v>
      </x:c>
      <x:c r="B252" s="18" t="str">
        <x:v>clinical_gate</x:v>
      </x:c>
      <x:c r="C252" s="18" t="str">
        <x:v>Clinical gate; see sheet subtitle and companion audit prompt.</x:v>
      </x:c>
      <x:c r="D252" s="18" t="str">
        <x:v>Text</x:v>
      </x:c>
      <x:c r="E252" s="18" t="str">
        <x:v>One record per stated sheet entity / check / observation</x:v>
      </x:c>
      <x:c r="F252" s="18" t="str">
        <x:v>Dimension / evidence; do not sum</x:v>
      </x:c>
      <x:c r="G252" s="18" t="str">
        <x:v>Blank numeric + explicit quality; never invented zero</x:v>
      </x:c>
    </x:row>
    <x:row r="253" ht="65" customHeight="1">
      <x:c r="A253" s="18" t="str">
        <x:v>17_pSEO_Plan</x:v>
      </x:c>
      <x:c r="B253" s="18" t="str">
        <x:v>duplicate_risk</x:v>
      </x:c>
      <x:c r="C253" s="18" t="str">
        <x:v>Duplicate risk; see sheet subtitle and companion audit prompt.</x:v>
      </x:c>
      <x:c r="D253" s="18" t="str">
        <x:v>Text</x:v>
      </x:c>
      <x:c r="E253" s="18" t="str">
        <x:v>One record per stated sheet entity / check / observation</x:v>
      </x:c>
      <x:c r="F253" s="18" t="str">
        <x:v>Dimension / evidence; do not sum</x:v>
      </x:c>
      <x:c r="G253" s="18" t="str">
        <x:v>Blank numeric + explicit quality; never invented zero</x:v>
      </x:c>
    </x:row>
    <x:row r="254" ht="65" customHeight="1">
      <x:c r="A254" s="18" t="str">
        <x:v>17_pSEO_Plan</x:v>
      </x:c>
      <x:c r="B254" s="18" t="str">
        <x:v>launch_decision</x:v>
      </x:c>
      <x:c r="C254" s="18" t="str">
        <x:v>Launch decision; see sheet subtitle and companion audit prompt.</x:v>
      </x:c>
      <x:c r="D254" s="18" t="str">
        <x:v>Text</x:v>
      </x:c>
      <x:c r="E254" s="18" t="str">
        <x:v>One record per stated sheet entity / check / observation</x:v>
      </x:c>
      <x:c r="F254" s="18" t="str">
        <x:v>Dimension / evidence; do not sum</x:v>
      </x:c>
      <x:c r="G254" s="18" t="str">
        <x:v>Blank numeric + explicit quality; never invented zero</x:v>
      </x:c>
    </x:row>
    <x:row r="255" ht="65" customHeight="1">
      <x:c r="A255" s="18" t="str">
        <x:v>17_pSEO_Plan</x:v>
      </x:c>
      <x:c r="B255" s="18" t="str">
        <x:v>success_metric</x:v>
      </x:c>
      <x:c r="C255" s="18" t="str">
        <x:v>Success metric; see sheet subtitle and companion audit prompt.</x:v>
      </x:c>
      <x:c r="D255" s="18" t="str">
        <x:v>Text</x:v>
      </x:c>
      <x:c r="E255" s="18" t="str">
        <x:v>One record per stated sheet entity / check / observation</x:v>
      </x:c>
      <x:c r="F255" s="18" t="str">
        <x:v>Dimension / evidence; do not sum</x:v>
      </x:c>
      <x:c r="G255" s="18" t="str">
        <x:v>Blank numeric + explicit quality; never invented zero</x:v>
      </x:c>
    </x:row>
    <x:row r="256" ht="65" customHeight="1">
      <x:c r="A256" s="18" t="str">
        <x:v>17_pSEO_Plan</x:v>
      </x:c>
      <x:c r="B256" s="18" t="str">
        <x:v>owner</x:v>
      </x:c>
      <x:c r="C256" s="18" t="str">
        <x:v>Owner; see sheet subtitle and companion audit prompt.</x:v>
      </x:c>
      <x:c r="D256" s="18" t="str">
        <x:v>Text</x:v>
      </x:c>
      <x:c r="E256" s="18" t="str">
        <x:v>One record per stated sheet entity / check / observation</x:v>
      </x:c>
      <x:c r="F256" s="18" t="str">
        <x:v>Dimension / evidence; do not sum</x:v>
      </x:c>
      <x:c r="G256" s="18" t="str">
        <x:v>Blank numeric + explicit quality; never invented zero</x:v>
      </x:c>
    </x:row>
    <x:row r="257" ht="65" customHeight="1">
      <x:c r="A257" s="18" t="str">
        <x:v>17_pSEO_Plan</x:v>
      </x:c>
      <x:c r="B257" s="18" t="str">
        <x:v>evidence</x:v>
      </x:c>
      <x:c r="C257" s="18" t="str">
        <x:v>Evidence; see sheet subtitle and companion audit prompt.</x:v>
      </x:c>
      <x:c r="D257" s="18" t="str">
        <x:v>Text</x:v>
      </x:c>
      <x:c r="E257" s="18" t="str">
        <x:v>One record per stated sheet entity / check / observation</x:v>
      </x:c>
      <x:c r="F257" s="18" t="str">
        <x:v>Dimension / evidence; do not sum</x:v>
      </x:c>
      <x:c r="G257" s="18" t="str">
        <x:v>Blank numeric + explicit quality; never invented zero</x:v>
      </x:c>
    </x:row>
    <x:row r="258" ht="65" customHeight="1">
      <x:c r="A258" s="18" t="str">
        <x:v>18_Migration</x:v>
      </x:c>
      <x:c r="B258" s="18" t="str">
        <x:v>legacy_url</x:v>
      </x:c>
      <x:c r="C258" s="18" t="str">
        <x:v>Legacy url; see sheet subtitle and companion audit prompt.</x:v>
      </x:c>
      <x:c r="D258" s="18" t="str">
        <x:v>Text</x:v>
      </x:c>
      <x:c r="E258" s="18" t="str">
        <x:v>One record per stated sheet entity / check / observation</x:v>
      </x:c>
      <x:c r="F258" s="18" t="str">
        <x:v>Dimension / evidence; do not sum</x:v>
      </x:c>
      <x:c r="G258" s="18" t="str">
        <x:v>Blank numeric + explicit quality; never invented zero</x:v>
      </x:c>
    </x:row>
    <x:row r="259" ht="65" customHeight="1">
      <x:c r="A259" s="18" t="str">
        <x:v>18_Migration</x:v>
      </x:c>
      <x:c r="B259" s="18" t="str">
        <x:v>proposed_or_documented_target</x:v>
      </x:c>
      <x:c r="C259" s="18" t="str">
        <x:v>Proposed or documented target; see sheet subtitle and companion audit prompt.</x:v>
      </x:c>
      <x:c r="D259" s="18" t="str">
        <x:v>Text</x:v>
      </x:c>
      <x:c r="E259" s="18" t="str">
        <x:v>One record per stated sheet entity / check / observation</x:v>
      </x:c>
      <x:c r="F259" s="18" t="str">
        <x:v>Dimension / evidence; do not sum</x:v>
      </x:c>
      <x:c r="G259" s="18" t="str">
        <x:v>Blank numeric + explicit quality; never invented zero</x:v>
      </x:c>
    </x:row>
    <x:row r="260" ht="65" customHeight="1">
      <x:c r="A260" s="18" t="str">
        <x:v>18_Migration</x:v>
      </x:c>
      <x:c r="B260" s="18" t="str">
        <x:v>target_country</x:v>
      </x:c>
      <x:c r="C260" s="18" t="str">
        <x:v>Business/service market targeted by the page, derived from verified routing or content ownership.</x:v>
      </x:c>
      <x:c r="D260" s="18" t="str">
        <x:v>Text</x:v>
      </x:c>
      <x:c r="E260" s="18" t="str">
        <x:v>One record per stated sheet entity / check / observation</x:v>
      </x:c>
      <x:c r="F260" s="18" t="str">
        <x:v>Dimension / evidence; do not sum</x:v>
      </x:c>
      <x:c r="G260" s="18" t="str">
        <x:v>Blank numeric + explicit quality; never invented zero</x:v>
      </x:c>
    </x:row>
    <x:row r="261" ht="65" customHeight="1">
      <x:c r="A261" s="18" t="str">
        <x:v>18_Migration</x:v>
      </x:c>
      <x:c r="B261" s="18" t="str">
        <x:v>language</x:v>
      </x:c>
      <x:c r="C261" s="18" t="str">
        <x:v>Page content language, not visitor browser language; use with target_country.</x:v>
      </x:c>
      <x:c r="D261" s="18" t="str">
        <x:v>Text</x:v>
      </x:c>
      <x:c r="E261" s="18" t="str">
        <x:v>One record per stated sheet entity / check / observation</x:v>
      </x:c>
      <x:c r="F261" s="18" t="str">
        <x:v>Dimension / evidence; do not sum</x:v>
      </x:c>
      <x:c r="G261" s="18" t="str">
        <x:v>Blank numeric + explicit quality; never invented zero</x:v>
      </x:c>
    </x:row>
    <x:row r="262" ht="65" customHeight="1">
      <x:c r="A262" s="18" t="str">
        <x:v>18_Migration</x:v>
      </x:c>
      <x:c r="B262" s="18" t="str">
        <x:v>mapping_source</x:v>
      </x:c>
      <x:c r="C262" s="18" t="str">
        <x:v>Mapping source; see sheet subtitle and companion audit prompt.</x:v>
      </x:c>
      <x:c r="D262" s="18" t="str">
        <x:v>Text</x:v>
      </x:c>
      <x:c r="E262" s="18" t="str">
        <x:v>One record per stated sheet entity / check / observation</x:v>
      </x:c>
      <x:c r="F262" s="18" t="str">
        <x:v>Dimension / evidence; do not sum</x:v>
      </x:c>
      <x:c r="G262" s="18" t="str">
        <x:v>Blank numeric + explicit quality; never invented zero</x:v>
      </x:c>
    </x:row>
    <x:row r="263" ht="65" customHeight="1">
      <x:c r="A263" s="18" t="str">
        <x:v>18_Migration</x:v>
      </x:c>
      <x:c r="B263" s="18" t="str">
        <x:v>historical_clicks</x:v>
      </x:c>
      <x:c r="C263" s="18" t="str">
        <x:v>Historical clicks; see sheet subtitle and companion audit prompt.</x:v>
      </x:c>
      <x:c r="D263" s="18" t="str">
        <x:v>Text</x:v>
      </x:c>
      <x:c r="E263" s="18" t="str">
        <x:v>One record per stated sheet entity / check / observation</x:v>
      </x:c>
      <x:c r="F263" s="18" t="str">
        <x:v>Dimension / evidence; do not sum</x:v>
      </x:c>
      <x:c r="G263" s="18" t="str">
        <x:v>Blank numeric + explicit quality; never invented zero</x:v>
      </x:c>
    </x:row>
    <x:row r="264" ht="65" customHeight="1">
      <x:c r="A264" s="18" t="str">
        <x:v>18_Migration</x:v>
      </x:c>
      <x:c r="B264" s="18" t="str">
        <x:v>referring_domains</x:v>
      </x:c>
      <x:c r="C264" s="18" t="str">
        <x:v>Referring domains; see sheet subtitle and companion audit prompt.</x:v>
      </x:c>
      <x:c r="D264" s="18" t="str">
        <x:v>Text</x:v>
      </x:c>
      <x:c r="E264" s="18" t="str">
        <x:v>One record per stated sheet entity / check / observation</x:v>
      </x:c>
      <x:c r="F264" s="18" t="str">
        <x:v>Dimension / evidence; do not sum</x:v>
      </x:c>
      <x:c r="G264" s="18" t="str">
        <x:v>Blank numeric + explicit quality; never invented zero</x:v>
      </x:c>
    </x:row>
    <x:row r="265" ht="65" customHeight="1">
      <x:c r="A265" s="18" t="str">
        <x:v>18_Migration</x:v>
      </x:c>
      <x:c r="B265" s="18" t="str">
        <x:v>observed_status</x:v>
      </x:c>
      <x:c r="C265" s="18" t="str">
        <x:v>Observed status; see sheet subtitle and companion audit prompt.</x:v>
      </x:c>
      <x:c r="D265" s="18" t="str">
        <x:v>Text</x:v>
      </x:c>
      <x:c r="E265" s="18" t="str">
        <x:v>One record per stated sheet entity / check / observation</x:v>
      </x:c>
      <x:c r="F265" s="18" t="str">
        <x:v>Dimension / evidence; do not sum</x:v>
      </x:c>
      <x:c r="G265" s="18" t="str">
        <x:v>Blank numeric + explicit quality; never invented zero</x:v>
      </x:c>
    </x:row>
    <x:row r="266" ht="65" customHeight="1">
      <x:c r="A266" s="18" t="str">
        <x:v>18_Migration</x:v>
      </x:c>
      <x:c r="B266" s="18" t="str">
        <x:v>redirect_hops</x:v>
      </x:c>
      <x:c r="C266" s="18" t="str">
        <x:v>Redirect hops; see sheet subtitle and companion audit prompt.</x:v>
      </x:c>
      <x:c r="D266" s="18" t="str">
        <x:v>Text</x:v>
      </x:c>
      <x:c r="E266" s="18" t="str">
        <x:v>One record per stated sheet entity / check / observation</x:v>
      </x:c>
      <x:c r="F266" s="18" t="str">
        <x:v>Dimension / evidence; do not sum</x:v>
      </x:c>
      <x:c r="G266" s="18" t="str">
        <x:v>Blank numeric + explicit quality; never invented zero</x:v>
      </x:c>
    </x:row>
    <x:row r="267" ht="65" customHeight="1">
      <x:c r="A267" s="18" t="str">
        <x:v>18_Migration</x:v>
      </x:c>
      <x:c r="B267" s="18" t="str">
        <x:v>final_url</x:v>
      </x:c>
      <x:c r="C267" s="18" t="str">
        <x:v>Final url; see sheet subtitle and companion audit prompt.</x:v>
      </x:c>
      <x:c r="D267" s="18" t="str">
        <x:v>Text</x:v>
      </x:c>
      <x:c r="E267" s="18" t="str">
        <x:v>One record per stated sheet entity / check / observation</x:v>
      </x:c>
      <x:c r="F267" s="18" t="str">
        <x:v>Dimension / evidence; do not sum</x:v>
      </x:c>
      <x:c r="G267" s="18" t="str">
        <x:v>Blank numeric + explicit quality; never invented zero</x:v>
      </x:c>
    </x:row>
    <x:row r="268" ht="65" customHeight="1">
      <x:c r="A268" s="18" t="str">
        <x:v>18_Migration</x:v>
      </x:c>
      <x:c r="B268" s="18" t="str">
        <x:v>content_equivalence</x:v>
      </x:c>
      <x:c r="C268" s="18" t="str">
        <x:v>Content equivalence; see sheet subtitle and companion audit prompt.</x:v>
      </x:c>
      <x:c r="D268" s="18" t="str">
        <x:v>Text</x:v>
      </x:c>
      <x:c r="E268" s="18" t="str">
        <x:v>One record per stated sheet entity / check / observation</x:v>
      </x:c>
      <x:c r="F268" s="18" t="str">
        <x:v>Dimension / evidence; do not sum</x:v>
      </x:c>
      <x:c r="G268" s="18" t="str">
        <x:v>Blank numeric + explicit quality; never invented zero</x:v>
      </x:c>
    </x:row>
    <x:row r="269" ht="65" customHeight="1">
      <x:c r="A269" s="18" t="str">
        <x:v>18_Migration</x:v>
      </x:c>
      <x:c r="B269" s="18" t="str">
        <x:v>approved_retirement</x:v>
      </x:c>
      <x:c r="C269" s="18" t="str">
        <x:v>Approved retirement; see sheet subtitle and companion audit prompt.</x:v>
      </x:c>
      <x:c r="D269" s="18" t="str">
        <x:v>Text</x:v>
      </x:c>
      <x:c r="E269" s="18" t="str">
        <x:v>One record per stated sheet entity / check / observation</x:v>
      </x:c>
      <x:c r="F269" s="18" t="str">
        <x:v>Dimension / evidence; do not sum</x:v>
      </x:c>
      <x:c r="G269" s="18" t="str">
        <x:v>Blank numeric + explicit quality; never invented zero</x:v>
      </x:c>
    </x:row>
    <x:row r="270" ht="65" customHeight="1">
      <x:c r="A270" s="18" t="str">
        <x:v>18_Migration</x:v>
      </x:c>
      <x:c r="B270" s="18" t="str">
        <x:v>test_status</x:v>
      </x:c>
      <x:c r="C270" s="18" t="str">
        <x:v>Test status; see sheet subtitle and companion audit prompt.</x:v>
      </x:c>
      <x:c r="D270" s="18" t="str">
        <x:v>Text</x:v>
      </x:c>
      <x:c r="E270" s="18" t="str">
        <x:v>One record per stated sheet entity / check / observation</x:v>
      </x:c>
      <x:c r="F270" s="18" t="str">
        <x:v>Dimension / evidence; do not sum</x:v>
      </x:c>
      <x:c r="G270" s="18" t="str">
        <x:v>Blank numeric + explicit quality; never invented zero</x:v>
      </x:c>
    </x:row>
    <x:row r="271" ht="65" customHeight="1">
      <x:c r="A271" s="18" t="str">
        <x:v>18_Migration</x:v>
      </x:c>
      <x:c r="B271" s="18" t="str">
        <x:v>evidence</x:v>
      </x:c>
      <x:c r="C271" s="18" t="str">
        <x:v>Evidence; see sheet subtitle and companion audit prompt.</x:v>
      </x:c>
      <x:c r="D271" s="18" t="str">
        <x:v>Text</x:v>
      </x:c>
      <x:c r="E271" s="18" t="str">
        <x:v>One record per stated sheet entity / check / observation</x:v>
      </x:c>
      <x:c r="F271" s="18" t="str">
        <x:v>Dimension / evidence; do not sum</x:v>
      </x:c>
      <x:c r="G271" s="18" t="str">
        <x:v>Blank numeric + explicit quality; never invented zero</x:v>
      </x:c>
    </x:row>
    <x:row r="272" ht="65" customHeight="1">
      <x:c r="A272" s="18" t="str">
        <x:v>19_Issues</x:v>
      </x:c>
      <x:c r="B272" s="18" t="str">
        <x:v>issue_id</x:v>
      </x:c>
      <x:c r="C272" s="18" t="str">
        <x:v>Issue id; see sheet subtitle and companion audit prompt.</x:v>
      </x:c>
      <x:c r="D272" s="18" t="str">
        <x:v>Text</x:v>
      </x:c>
      <x:c r="E272" s="18" t="str">
        <x:v>One record per stated sheet entity / check / observation</x:v>
      </x:c>
      <x:c r="F272" s="18" t="str">
        <x:v>Dimension / evidence; do not sum</x:v>
      </x:c>
      <x:c r="G272" s="18" t="str">
        <x:v>Blank numeric + explicit quality; never invented zero</x:v>
      </x:c>
    </x:row>
    <x:row r="273" ht="65" customHeight="1">
      <x:c r="A273" s="18" t="str">
        <x:v>19_Issues</x:v>
      </x:c>
      <x:c r="B273" s="18" t="str">
        <x:v>ledger_reference</x:v>
      </x:c>
      <x:c r="C273" s="18" t="str">
        <x:v>Ledger reference; see sheet subtitle and companion audit prompt.</x:v>
      </x:c>
      <x:c r="D273" s="18" t="str">
        <x:v>Text</x:v>
      </x:c>
      <x:c r="E273" s="18" t="str">
        <x:v>One record per stated sheet entity / check / observation</x:v>
      </x:c>
      <x:c r="F273" s="18" t="str">
        <x:v>Dimension / evidence; do not sum</x:v>
      </x:c>
      <x:c r="G273" s="18" t="str">
        <x:v>Blank numeric + explicit quality; never invented zero</x:v>
      </x:c>
    </x:row>
    <x:row r="274" ht="65" customHeight="1">
      <x:c r="A274" s="18" t="str">
        <x:v>19_Issues</x:v>
      </x:c>
      <x:c r="B274" s="18" t="str">
        <x:v>category</x:v>
      </x:c>
      <x:c r="C274" s="18" t="str">
        <x:v>Category; see sheet subtitle and companion audit prompt.</x:v>
      </x:c>
      <x:c r="D274" s="18" t="str">
        <x:v>Text</x:v>
      </x:c>
      <x:c r="E274" s="18" t="str">
        <x:v>One record per stated sheet entity / check / observation</x:v>
      </x:c>
      <x:c r="F274" s="18" t="str">
        <x:v>Dimension / evidence; do not sum</x:v>
      </x:c>
      <x:c r="G274" s="18" t="str">
        <x:v>Blank numeric + explicit quality; never invented zero</x:v>
      </x:c>
    </x:row>
    <x:row r="275" ht="65" customHeight="1">
      <x:c r="A275" s="18" t="str">
        <x:v>19_Issues</x:v>
      </x:c>
      <x:c r="B275" s="18" t="str">
        <x:v>target_country</x:v>
      </x:c>
      <x:c r="C275" s="18" t="str">
        <x:v>Business/service market targeted by the page, derived from verified routing or content ownership.</x:v>
      </x:c>
      <x:c r="D275" s="18" t="str">
        <x:v>Text</x:v>
      </x:c>
      <x:c r="E275" s="18" t="str">
        <x:v>One record per stated sheet entity / check / observation</x:v>
      </x:c>
      <x:c r="F275" s="18" t="str">
        <x:v>Dimension / evidence; do not sum</x:v>
      </x:c>
      <x:c r="G275" s="18" t="str">
        <x:v>Blank numeric + explicit quality; never invented zero</x:v>
      </x:c>
    </x:row>
    <x:row r="276" ht="65" customHeight="1">
      <x:c r="A276" s="18" t="str">
        <x:v>19_Issues</x:v>
      </x:c>
      <x:c r="B276" s="18" t="str">
        <x:v>language</x:v>
      </x:c>
      <x:c r="C276" s="18" t="str">
        <x:v>Page content language, not visitor browser language; use with target_country.</x:v>
      </x:c>
      <x:c r="D276" s="18" t="str">
        <x:v>Text</x:v>
      </x:c>
      <x:c r="E276" s="18" t="str">
        <x:v>One record per stated sheet entity / check / observation</x:v>
      </x:c>
      <x:c r="F276" s="18" t="str">
        <x:v>Dimension / evidence; do not sum</x:v>
      </x:c>
      <x:c r="G276" s="18" t="str">
        <x:v>Blank numeric + explicit quality; never invented zero</x:v>
      </x:c>
    </x:row>
    <x:row r="277" ht="65" customHeight="1">
      <x:c r="A277" s="18" t="str">
        <x:v>19_Issues</x:v>
      </x:c>
      <x:c r="B277" s="18" t="str">
        <x:v>url_id</x:v>
      </x:c>
      <x:c r="C277" s="18" t="str">
        <x:v>Stable URL identity used to join URL-level tables; maintain historical URL mapping.</x:v>
      </x:c>
      <x:c r="D277" s="18" t="str">
        <x:v>Text</x:v>
      </x:c>
      <x:c r="E277" s="18" t="str">
        <x:v>One record per stated sheet entity / check / observation</x:v>
      </x:c>
      <x:c r="F277" s="18" t="str">
        <x:v>Dimension / evidence; do not sum</x:v>
      </x:c>
      <x:c r="G277" s="18" t="str">
        <x:v>Blank numeric + explicit quality; never invented zero</x:v>
      </x:c>
    </x:row>
    <x:row r="278" ht="65" customHeight="1">
      <x:c r="A278" s="18" t="str">
        <x:v>19_Issues</x:v>
      </x:c>
      <x:c r="B278" s="18" t="str">
        <x:v>finding</x:v>
      </x:c>
      <x:c r="C278" s="18" t="str">
        <x:v>Finding; see sheet subtitle and companion audit prompt.</x:v>
      </x:c>
      <x:c r="D278" s="18" t="str">
        <x:v>Text</x:v>
      </x:c>
      <x:c r="E278" s="18" t="str">
        <x:v>One record per stated sheet entity / check / observation</x:v>
      </x:c>
      <x:c r="F278" s="18" t="str">
        <x:v>Dimension / evidence; do not sum</x:v>
      </x:c>
      <x:c r="G278" s="18" t="str">
        <x:v>Blank numeric + explicit quality; never invented zero</x:v>
      </x:c>
    </x:row>
    <x:row r="279" ht="65" customHeight="1">
      <x:c r="A279" s="18" t="str">
        <x:v>19_Issues</x:v>
      </x:c>
      <x:c r="B279" s="18" t="str">
        <x:v>evidence_date</x:v>
      </x:c>
      <x:c r="C279" s="18" t="str">
        <x:v>Evidence date; see sheet subtitle and companion audit prompt.</x:v>
      </x:c>
      <x:c r="D279" s="18" t="str">
        <x:v>Date / timestamp</x:v>
      </x:c>
      <x:c r="E279" s="18" t="str">
        <x:v>One record per stated sheet entity / check / observation</x:v>
      </x:c>
      <x:c r="F279" s="18" t="str">
        <x:v>Dimension / evidence; do not sum</x:v>
      </x:c>
      <x:c r="G279" s="18" t="str">
        <x:v>Blank numeric + explicit quality; never invented zero</x:v>
      </x:c>
    </x:row>
    <x:row r="280" ht="65" customHeight="1">
      <x:c r="A280" s="18" t="str">
        <x:v>19_Issues</x:v>
      </x:c>
      <x:c r="B280" s="18" t="str">
        <x:v>evidence_type</x:v>
      </x:c>
      <x:c r="C280" s="18" t="str">
        <x:v>Evidence type; see sheet subtitle and companion audit prompt.</x:v>
      </x:c>
      <x:c r="D280" s="18" t="str">
        <x:v>Text</x:v>
      </x:c>
      <x:c r="E280" s="18" t="str">
        <x:v>One record per stated sheet entity / check / observation</x:v>
      </x:c>
      <x:c r="F280" s="18" t="str">
        <x:v>Dimension / evidence; do not sum</x:v>
      </x:c>
      <x:c r="G280" s="18" t="str">
        <x:v>Blank numeric + explicit quality; never invented zero</x:v>
      </x:c>
    </x:row>
    <x:row r="281" ht="65" customHeight="1">
      <x:c r="A281" s="18" t="str">
        <x:v>19_Issues</x:v>
      </x:c>
      <x:c r="B281" s="18" t="str">
        <x:v>priority</x:v>
      </x:c>
      <x:c r="C281" s="18" t="str">
        <x:v>Human-assigned P0/P1/P2/P3 severity; not a Google SEO score.</x:v>
      </x:c>
      <x:c r="D281" s="18" t="str">
        <x:v>Text</x:v>
      </x:c>
      <x:c r="E281" s="18" t="str">
        <x:v>One record per stated sheet entity / check / observation</x:v>
      </x:c>
      <x:c r="F281" s="18" t="str">
        <x:v>Dimension / evidence; do not sum</x:v>
      </x:c>
      <x:c r="G281" s="18" t="str">
        <x:v>Blank numeric + explicit quality; never invented zero</x:v>
      </x:c>
    </x:row>
    <x:row r="282" ht="65" customHeight="1">
      <x:c r="A282" s="18" t="str">
        <x:v>19_Issues</x:v>
      </x:c>
      <x:c r="B282" s="18" t="str">
        <x:v>impact_1_5</x:v>
      </x:c>
      <x:c r="C282" s="18" t="str">
        <x:v>Impact 1 5; see sheet subtitle and companion audit prompt.</x:v>
      </x:c>
      <x:c r="D282" s="18" t="str">
        <x:v>Text</x:v>
      </x:c>
      <x:c r="E282" s="18" t="str">
        <x:v>One record per stated sheet entity / check / observation</x:v>
      </x:c>
      <x:c r="F282" s="18" t="str">
        <x:v>Dimension / evidence; do not sum</x:v>
      </x:c>
      <x:c r="G282" s="18" t="str">
        <x:v>Blank numeric + explicit quality; never invented zero</x:v>
      </x:c>
    </x:row>
    <x:row r="283" ht="65" customHeight="1">
      <x:c r="A283" s="18" t="str">
        <x:v>19_Issues</x:v>
      </x:c>
      <x:c r="B283" s="18" t="str">
        <x:v>confidence_0_1</x:v>
      </x:c>
      <x:c r="C283" s="18" t="str">
        <x:v>Confidence 0 1; see sheet subtitle and companion audit prompt.</x:v>
      </x:c>
      <x:c r="D283" s="18" t="str">
        <x:v>Text</x:v>
      </x:c>
      <x:c r="E283" s="18" t="str">
        <x:v>One record per stated sheet entity / check / observation</x:v>
      </x:c>
      <x:c r="F283" s="18" t="str">
        <x:v>Dimension / evidence; do not sum</x:v>
      </x:c>
      <x:c r="G283" s="18" t="str">
        <x:v>Blank numeric + explicit quality; never invented zero</x:v>
      </x:c>
    </x:row>
    <x:row r="284" ht="65" customHeight="1">
      <x:c r="A284" s="18" t="str">
        <x:v>19_Issues</x:v>
      </x:c>
      <x:c r="B284" s="18" t="str">
        <x:v>effort_1_5</x:v>
      </x:c>
      <x:c r="C284" s="18" t="str">
        <x:v>Effort 1 5; see sheet subtitle and companion audit prompt.</x:v>
      </x:c>
      <x:c r="D284" s="18" t="str">
        <x:v>Text</x:v>
      </x:c>
      <x:c r="E284" s="18" t="str">
        <x:v>One record per stated sheet entity / check / observation</x:v>
      </x:c>
      <x:c r="F284" s="18" t="str">
        <x:v>Dimension / evidence; do not sum</x:v>
      </x:c>
      <x:c r="G284" s="18" t="str">
        <x:v>Blank numeric + explicit quality; never invented zero</x:v>
      </x:c>
    </x:row>
    <x:row r="285" ht="65" customHeight="1">
      <x:c r="A285" s="18" t="str">
        <x:v>19_Issues</x:v>
      </x:c>
      <x:c r="B285" s="18" t="str">
        <x:v>priority_score</x:v>
      </x:c>
      <x:c r="C285" s="18" t="str">
        <x:v>Impact × confidence ÷ effort; analyst heuristic. P0 and clinical/privacy issues override it.</x:v>
      </x:c>
      <x:c r="D285" s="18" t="str">
        <x:v>Number (when applicable)</x:v>
      </x:c>
      <x:c r="E285" s="18" t="str">
        <x:v>One record per stated sheet entity / check / observation</x:v>
      </x:c>
      <x:c r="F285" s="18" t="str">
        <x:v>Dimension / evidence; do not sum</x:v>
      </x:c>
      <x:c r="G285" s="18" t="str">
        <x:v>Blank numeric + explicit quality; never invented zero</x:v>
      </x:c>
    </x:row>
    <x:row r="286" ht="65" customHeight="1">
      <x:c r="A286" s="18" t="str">
        <x:v>19_Issues</x:v>
      </x:c>
      <x:c r="B286" s="18" t="str">
        <x:v>status</x:v>
      </x:c>
      <x:c r="C286" s="18" t="str">
        <x:v>Workflow or test status; only Verified/Passed with reproducible evidence.</x:v>
      </x:c>
      <x:c r="D286" s="18" t="str">
        <x:v>Text</x:v>
      </x:c>
      <x:c r="E286" s="18" t="str">
        <x:v>One record per stated sheet entity / check / observation</x:v>
      </x:c>
      <x:c r="F286" s="18" t="str">
        <x:v>Dimension / evidence; do not sum</x:v>
      </x:c>
      <x:c r="G286" s="18" t="str">
        <x:v>Blank numeric + explicit quality; never invented zero</x:v>
      </x:c>
    </x:row>
    <x:row r="287" ht="65" customHeight="1">
      <x:c r="A287" s="18" t="str">
        <x:v>19_Issues</x:v>
      </x:c>
      <x:c r="B287" s="18" t="str">
        <x:v>owner</x:v>
      </x:c>
      <x:c r="C287" s="18" t="str">
        <x:v>Owner; see sheet subtitle and companion audit prompt.</x:v>
      </x:c>
      <x:c r="D287" s="18" t="str">
        <x:v>Text</x:v>
      </x:c>
      <x:c r="E287" s="18" t="str">
        <x:v>One record per stated sheet entity / check / observation</x:v>
      </x:c>
      <x:c r="F287" s="18" t="str">
        <x:v>Dimension / evidence; do not sum</x:v>
      </x:c>
      <x:c r="G287" s="18" t="str">
        <x:v>Blank numeric + explicit quality; never invented zero</x:v>
      </x:c>
    </x:row>
    <x:row r="288" ht="65" customHeight="1">
      <x:c r="A288" s="18" t="str">
        <x:v>19_Issues</x:v>
      </x:c>
      <x:c r="B288" s="18" t="str">
        <x:v>next_action</x:v>
      </x:c>
      <x:c r="C288" s="18" t="str">
        <x:v>Next action; see sheet subtitle and companion audit prompt.</x:v>
      </x:c>
      <x:c r="D288" s="18" t="str">
        <x:v>Text</x:v>
      </x:c>
      <x:c r="E288" s="18" t="str">
        <x:v>One record per stated sheet entity / check / observation</x:v>
      </x:c>
      <x:c r="F288" s="18" t="str">
        <x:v>Dimension / evidence; do not sum</x:v>
      </x:c>
      <x:c r="G288" s="18" t="str">
        <x:v>Blank numeric + explicit quality; never invented zero</x:v>
      </x:c>
    </x:row>
    <x:row r="289" ht="65" customHeight="1">
      <x:c r="A289" s="18" t="str">
        <x:v>19_Issues</x:v>
      </x:c>
      <x:c r="B289" s="18" t="str">
        <x:v>acceptance_test</x:v>
      </x:c>
      <x:c r="C289" s="18" t="str">
        <x:v>Acceptance test; see sheet subtitle and companion audit prompt.</x:v>
      </x:c>
      <x:c r="D289" s="18" t="str">
        <x:v>Text</x:v>
      </x:c>
      <x:c r="E289" s="18" t="str">
        <x:v>One record per stated sheet entity / check / observation</x:v>
      </x:c>
      <x:c r="F289" s="18" t="str">
        <x:v>Dimension / evidence; do not sum</x:v>
      </x:c>
      <x:c r="G289" s="18" t="str">
        <x:v>Blank numeric + explicit quality; never invented zero</x:v>
      </x:c>
    </x:row>
    <x:row r="290" ht="65" customHeight="1">
      <x:c r="A290" s="18" t="str">
        <x:v>19_Issues</x:v>
      </x:c>
      <x:c r="B290" s="18" t="str">
        <x:v>due_date</x:v>
      </x:c>
      <x:c r="C290" s="18" t="str">
        <x:v>Due date; see sheet subtitle and companion audit prompt.</x:v>
      </x:c>
      <x:c r="D290" s="18" t="str">
        <x:v>Date / timestamp</x:v>
      </x:c>
      <x:c r="E290" s="18" t="str">
        <x:v>One record per stated sheet entity / check / observation</x:v>
      </x:c>
      <x:c r="F290" s="18" t="str">
        <x:v>Dimension / evidence; do not sum</x:v>
      </x:c>
      <x:c r="G290" s="18" t="str">
        <x:v>Blank numeric + explicit quality; never invented zero</x:v>
      </x:c>
    </x:row>
    <x:row r="291" ht="65" customHeight="1">
      <x:c r="A291" s="18" t="str">
        <x:v>19_Issues</x:v>
      </x:c>
      <x:c r="B291" s="18" t="str">
        <x:v>evidence_url</x:v>
      </x:c>
      <x:c r="C291" s="18" t="str">
        <x:v>Reproducible evidence URL for the specific observation, not a generic unsupported claim.</x:v>
      </x:c>
      <x:c r="D291" s="18" t="str">
        <x:v>Text</x:v>
      </x:c>
      <x:c r="E291" s="18" t="str">
        <x:v>One record per stated sheet entity / check / observation</x:v>
      </x:c>
      <x:c r="F291" s="18" t="str">
        <x:v>Dimension / evidence; do not sum</x:v>
      </x:c>
      <x:c r="G291" s="18" t="str">
        <x:v>Blank numeric + explicit quality; never invented zero</x:v>
      </x:c>
    </x:row>
    <x:row r="292" ht="65" customHeight="1">
      <x:c r="A292" s="18" t="str">
        <x:v>20_Change_Log</x:v>
      </x:c>
      <x:c r="B292" s="18" t="str">
        <x:v>change_id</x:v>
      </x:c>
      <x:c r="C292" s="18" t="str">
        <x:v>Change id; see sheet subtitle and companion audit prompt.</x:v>
      </x:c>
      <x:c r="D292" s="18" t="str">
        <x:v>Text</x:v>
      </x:c>
      <x:c r="E292" s="18" t="str">
        <x:v>One record per stated sheet entity / check / observation</x:v>
      </x:c>
      <x:c r="F292" s="18" t="str">
        <x:v>Dimension / evidence; do not sum</x:v>
      </x:c>
      <x:c r="G292" s="18" t="str">
        <x:v>Blank numeric + explicit quality; never invented zero</x:v>
      </x:c>
    </x:row>
    <x:row r="293" ht="65" customHeight="1">
      <x:c r="A293" s="18" t="str">
        <x:v>20_Change_Log</x:v>
      </x:c>
      <x:c r="B293" s="18" t="str">
        <x:v>ledger_reference</x:v>
      </x:c>
      <x:c r="C293" s="18" t="str">
        <x:v>Ledger reference; see sheet subtitle and companion audit prompt.</x:v>
      </x:c>
      <x:c r="D293" s="18" t="str">
        <x:v>Text</x:v>
      </x:c>
      <x:c r="E293" s="18" t="str">
        <x:v>One record per stated sheet entity / check / observation</x:v>
      </x:c>
      <x:c r="F293" s="18" t="str">
        <x:v>Dimension / evidence; do not sum</x:v>
      </x:c>
      <x:c r="G293" s="18" t="str">
        <x:v>Blank numeric + explicit quality; never invented zero</x:v>
      </x:c>
    </x:row>
    <x:row r="294" ht="65" customHeight="1">
      <x:c r="A294" s="18" t="str">
        <x:v>20_Change_Log</x:v>
      </x:c>
      <x:c r="B294" s="18" t="str">
        <x:v>change_date</x:v>
      </x:c>
      <x:c r="C294" s="18" t="str">
        <x:v>Change date; see sheet subtitle and companion audit prompt.</x:v>
      </x:c>
      <x:c r="D294" s="18" t="str">
        <x:v>Date / timestamp</x:v>
      </x:c>
      <x:c r="E294" s="18" t="str">
        <x:v>One record per stated sheet entity / check / observation</x:v>
      </x:c>
      <x:c r="F294" s="18" t="str">
        <x:v>Dimension / evidence; do not sum</x:v>
      </x:c>
      <x:c r="G294" s="18" t="str">
        <x:v>Blank numeric + explicit quality; never invented zero</x:v>
      </x:c>
    </x:row>
    <x:row r="295" ht="65" customHeight="1">
      <x:c r="A295" s="18" t="str">
        <x:v>20_Change_Log</x:v>
      </x:c>
      <x:c r="B295" s="18" t="str">
        <x:v>change_type</x:v>
      </x:c>
      <x:c r="C295" s="18" t="str">
        <x:v>Change type; see sheet subtitle and companion audit prompt.</x:v>
      </x:c>
      <x:c r="D295" s="18" t="str">
        <x:v>Text</x:v>
      </x:c>
      <x:c r="E295" s="18" t="str">
        <x:v>One record per stated sheet entity / check / observation</x:v>
      </x:c>
      <x:c r="F295" s="18" t="str">
        <x:v>Dimension / evidence; do not sum</x:v>
      </x:c>
      <x:c r="G295" s="18" t="str">
        <x:v>Blank numeric + explicit quality; never invented zero</x:v>
      </x:c>
    </x:row>
    <x:row r="296" ht="65" customHeight="1">
      <x:c r="A296" s="18" t="str">
        <x:v>20_Change_Log</x:v>
      </x:c>
      <x:c r="B296" s="18" t="str">
        <x:v>scope</x:v>
      </x:c>
      <x:c r="C296" s="18" t="str">
        <x:v>Scope; see sheet subtitle and companion audit prompt.</x:v>
      </x:c>
      <x:c r="D296" s="18" t="str">
        <x:v>Text</x:v>
      </x:c>
      <x:c r="E296" s="18" t="str">
        <x:v>One record per stated sheet entity / check / observation</x:v>
      </x:c>
      <x:c r="F296" s="18" t="str">
        <x:v>Dimension / evidence; do not sum</x:v>
      </x:c>
      <x:c r="G296" s="18" t="str">
        <x:v>Blank numeric + explicit quality; never invented zero</x:v>
      </x:c>
    </x:row>
    <x:row r="297" ht="65" customHeight="1">
      <x:c r="A297" s="18" t="str">
        <x:v>20_Change_Log</x:v>
      </x:c>
      <x:c r="B297" s="18" t="str">
        <x:v>description</x:v>
      </x:c>
      <x:c r="C297" s="18" t="str">
        <x:v>Description; see sheet subtitle and companion audit prompt.</x:v>
      </x:c>
      <x:c r="D297" s="18" t="str">
        <x:v>Text</x:v>
      </x:c>
      <x:c r="E297" s="18" t="str">
        <x:v>One record per stated sheet entity / check / observation</x:v>
      </x:c>
      <x:c r="F297" s="18" t="str">
        <x:v>Dimension / evidence; do not sum</x:v>
      </x:c>
      <x:c r="G297" s="18" t="str">
        <x:v>Blank numeric + explicit quality; never invented zero</x:v>
      </x:c>
    </x:row>
    <x:row r="298" ht="65" customHeight="1">
      <x:c r="A298" s="18" t="str">
        <x:v>20_Change_Log</x:v>
      </x:c>
      <x:c r="B298" s="18" t="str">
        <x:v>commit_or_deployment</x:v>
      </x:c>
      <x:c r="C298" s="18" t="str">
        <x:v>Commit or deployment; see sheet subtitle and companion audit prompt.</x:v>
      </x:c>
      <x:c r="D298" s="18" t="str">
        <x:v>Text</x:v>
      </x:c>
      <x:c r="E298" s="18" t="str">
        <x:v>One record per stated sheet entity / check / observation</x:v>
      </x:c>
      <x:c r="F298" s="18" t="str">
        <x:v>Dimension / evidence; do not sum</x:v>
      </x:c>
      <x:c r="G298" s="18" t="str">
        <x:v>Blank numeric + explicit quality; never invented zero</x:v>
      </x:c>
    </x:row>
    <x:row r="299" ht="65" customHeight="1">
      <x:c r="A299" s="18" t="str">
        <x:v>20_Change_Log</x:v>
      </x:c>
      <x:c r="B299" s="18" t="str">
        <x:v>implementation_status</x:v>
      </x:c>
      <x:c r="C299" s="18" t="str">
        <x:v>Implementation status; see sheet subtitle and companion audit prompt.</x:v>
      </x:c>
      <x:c r="D299" s="18" t="str">
        <x:v>Text</x:v>
      </x:c>
      <x:c r="E299" s="18" t="str">
        <x:v>One record per stated sheet entity / check / observation</x:v>
      </x:c>
      <x:c r="F299" s="18" t="str">
        <x:v>Dimension / evidence; do not sum</x:v>
      </x:c>
      <x:c r="G299" s="18" t="str">
        <x:v>Blank numeric + explicit quality; never invented zero</x:v>
      </x:c>
    </x:row>
    <x:row r="300" ht="65" customHeight="1">
      <x:c r="A300" s="18" t="str">
        <x:v>20_Change_Log</x:v>
      </x:c>
      <x:c r="B300" s="18" t="str">
        <x:v>before_window</x:v>
      </x:c>
      <x:c r="C300" s="18" t="str">
        <x:v>Before window; see sheet subtitle and companion audit prompt.</x:v>
      </x:c>
      <x:c r="D300" s="18" t="str">
        <x:v>Text</x:v>
      </x:c>
      <x:c r="E300" s="18" t="str">
        <x:v>One record per stated sheet entity / check / observation</x:v>
      </x:c>
      <x:c r="F300" s="18" t="str">
        <x:v>Dimension / evidence; do not sum</x:v>
      </x:c>
      <x:c r="G300" s="18" t="str">
        <x:v>Blank numeric + explicit quality; never invented zero</x:v>
      </x:c>
    </x:row>
    <x:row r="301" ht="65" customHeight="1">
      <x:c r="A301" s="18" t="str">
        <x:v>20_Change_Log</x:v>
      </x:c>
      <x:c r="B301" s="18" t="str">
        <x:v>after_window</x:v>
      </x:c>
      <x:c r="C301" s="18" t="str">
        <x:v>After window; see sheet subtitle and companion audit prompt.</x:v>
      </x:c>
      <x:c r="D301" s="18" t="str">
        <x:v>Text</x:v>
      </x:c>
      <x:c r="E301" s="18" t="str">
        <x:v>One record per stated sheet entity / check / observation</x:v>
      </x:c>
      <x:c r="F301" s="18" t="str">
        <x:v>Dimension / evidence; do not sum</x:v>
      </x:c>
      <x:c r="G301" s="18" t="str">
        <x:v>Blank numeric + explicit quality; never invented zero</x:v>
      </x:c>
    </x:row>
    <x:row r="302" ht="65" customHeight="1">
      <x:c r="A302" s="18" t="str">
        <x:v>20_Change_Log</x:v>
      </x:c>
      <x:c r="B302" s="18" t="str">
        <x:v>verification</x:v>
      </x:c>
      <x:c r="C302" s="18" t="str">
        <x:v>Verification; see sheet subtitle and companion audit prompt.</x:v>
      </x:c>
      <x:c r="D302" s="18" t="str">
        <x:v>Text</x:v>
      </x:c>
      <x:c r="E302" s="18" t="str">
        <x:v>One record per stated sheet entity / check / observation</x:v>
      </x:c>
      <x:c r="F302" s="18" t="str">
        <x:v>Dimension / evidence; do not sum</x:v>
      </x:c>
      <x:c r="G302" s="18" t="str">
        <x:v>Blank numeric + explicit quality; never invented zero</x:v>
      </x:c>
    </x:row>
    <x:row r="303" ht="65" customHeight="1">
      <x:c r="A303" s="18" t="str">
        <x:v>20_Change_Log</x:v>
      </x:c>
      <x:c r="B303" s="18" t="str">
        <x:v>next_measurement</x:v>
      </x:c>
      <x:c r="C303" s="18" t="str">
        <x:v>Next measurement; see sheet subtitle and companion audit prompt.</x:v>
      </x:c>
      <x:c r="D303" s="18" t="str">
        <x:v>Text</x:v>
      </x:c>
      <x:c r="E303" s="18" t="str">
        <x:v>One record per stated sheet entity / check / observation</x:v>
      </x:c>
      <x:c r="F303" s="18" t="str">
        <x:v>Dimension / evidence; do not sum</x:v>
      </x:c>
      <x:c r="G303" s="18" t="str">
        <x:v>Blank numeric + explicit quality; never invented zero</x:v>
      </x:c>
    </x:row>
    <x:row r="304" ht="65" customHeight="1">
      <x:c r="A304" s="18" t="str">
        <x:v>20_Change_Log</x:v>
      </x:c>
      <x:c r="B304" s="18" t="str">
        <x:v>evidence</x:v>
      </x:c>
      <x:c r="C304" s="18" t="str">
        <x:v>Evidence; see sheet subtitle and companion audit prompt.</x:v>
      </x:c>
      <x:c r="D304" s="18" t="str">
        <x:v>Text</x:v>
      </x:c>
      <x:c r="E304" s="18" t="str">
        <x:v>One record per stated sheet entity / check / observation</x:v>
      </x:c>
      <x:c r="F304" s="18" t="str">
        <x:v>Dimension / evidence; do not sum</x:v>
      </x:c>
      <x:c r="G304" s="18" t="str">
        <x:v>Blank numeric + explicit quality; never invented zero</x:v>
      </x:c>
    </x:row>
    <x:row r="305" ht="65" customHeight="1">
      <x:c r="A305" s="18" t="str">
        <x:v>21_Historical_Baselines</x:v>
      </x:c>
      <x:c r="B305" s="18" t="str">
        <x:v>snapshot_id</x:v>
      </x:c>
      <x:c r="C305" s="18" t="str">
        <x:v>Snapshot id; see sheet subtitle and companion audit prompt.</x:v>
      </x:c>
      <x:c r="D305" s="18" t="str">
        <x:v>Text</x:v>
      </x:c>
      <x:c r="E305" s="18" t="str">
        <x:v>Dated historical metric snapshot; windows may overlap</x:v>
      </x:c>
      <x:c r="F305" s="18" t="str">
        <x:v>Dimension / evidence; do not sum</x:v>
      </x:c>
      <x:c r="G305" s="18" t="str">
        <x:v>Blank numeric + explicit quality; never invented zero</x:v>
      </x:c>
    </x:row>
    <x:row r="306" ht="65" customHeight="1">
      <x:c r="A306" s="18" t="str">
        <x:v>21_Historical_Baselines</x:v>
      </x:c>
      <x:c r="B306" s="18" t="str">
        <x:v>observed_at</x:v>
      </x:c>
      <x:c r="C306" s="18" t="str">
        <x:v>When the evidence was actually observed; distinct from workbook preparation.</x:v>
      </x:c>
      <x:c r="D306" s="18" t="str">
        <x:v>Date / timestamp</x:v>
      </x:c>
      <x:c r="E306" s="18" t="str">
        <x:v>Dated historical metric snapshot; windows may overlap</x:v>
      </x:c>
      <x:c r="F306" s="18" t="str">
        <x:v>Dimension / evidence; do not sum</x:v>
      </x:c>
      <x:c r="G306" s="18" t="str">
        <x:v>Blank numeric + explicit quality; never invented zero</x:v>
      </x:c>
    </x:row>
    <x:row r="307" ht="65" customHeight="1">
      <x:c r="A307" s="18" t="str">
        <x:v>21_Historical_Baselines</x:v>
      </x:c>
      <x:c r="B307" s="18" t="str">
        <x:v>source</x:v>
      </x:c>
      <x:c r="C307" s="18" t="str">
        <x:v>Source; see sheet subtitle and companion audit prompt.</x:v>
      </x:c>
      <x:c r="D307" s="18" t="str">
        <x:v>Text</x:v>
      </x:c>
      <x:c r="E307" s="18" t="str">
        <x:v>Dated historical metric snapshot; windows may overlap</x:v>
      </x:c>
      <x:c r="F307" s="18" t="str">
        <x:v>Dimension / evidence; do not sum</x:v>
      </x:c>
      <x:c r="G307" s="18" t="str">
        <x:v>Blank numeric + explicit quality; never invented zero</x:v>
      </x:c>
    </x:row>
    <x:row r="308" ht="65" customHeight="1">
      <x:c r="A308" s="18" t="str">
        <x:v>21_Historical_Baselines</x:v>
      </x:c>
      <x:c r="B308" s="18" t="str">
        <x:v>window_start</x:v>
      </x:c>
      <x:c r="C308" s="18" t="str">
        <x:v>Beginning of the measured interval; preserve exact source boundaries.</x:v>
      </x:c>
      <x:c r="D308" s="18" t="str">
        <x:v>Date / timestamp</x:v>
      </x:c>
      <x:c r="E308" s="18" t="str">
        <x:v>Dated historical metric snapshot; windows may overlap</x:v>
      </x:c>
      <x:c r="F308" s="18" t="str">
        <x:v>Dimension / evidence; do not sum</x:v>
      </x:c>
      <x:c r="G308" s="18" t="str">
        <x:v>Blank numeric + explicit quality; never invented zero</x:v>
      </x:c>
    </x:row>
    <x:row r="309" ht="65" customHeight="1">
      <x:c r="A309" s="18" t="str">
        <x:v>21_Historical_Baselines</x:v>
      </x:c>
      <x:c r="B309" s="18" t="str">
        <x:v>window_end</x:v>
      </x:c>
      <x:c r="C309" s="18" t="str">
        <x:v>End of measured interval or last available source report date.</x:v>
      </x:c>
      <x:c r="D309" s="18" t="str">
        <x:v>Date / timestamp</x:v>
      </x:c>
      <x:c r="E309" s="18" t="str">
        <x:v>Dated historical metric snapshot; windows may overlap</x:v>
      </x:c>
      <x:c r="F309" s="18" t="str">
        <x:v>Dimension / evidence; do not sum</x:v>
      </x:c>
      <x:c r="G309" s="18" t="str">
        <x:v>Blank numeric + explicit quality; never invented zero</x:v>
      </x:c>
    </x:row>
    <x:row r="310" ht="65" customHeight="1">
      <x:c r="A310" s="18" t="str">
        <x:v>21_Historical_Baselines</x:v>
      </x:c>
      <x:c r="B310" s="18" t="str">
        <x:v>scope</x:v>
      </x:c>
      <x:c r="C310" s="18" t="str">
        <x:v>Scope; see sheet subtitle and companion audit prompt.</x:v>
      </x:c>
      <x:c r="D310" s="18" t="str">
        <x:v>Text</x:v>
      </x:c>
      <x:c r="E310" s="18" t="str">
        <x:v>Dated historical metric snapshot; windows may overlap</x:v>
      </x:c>
      <x:c r="F310" s="18" t="str">
        <x:v>Dimension / evidence; do not sum</x:v>
      </x:c>
      <x:c r="G310" s="18" t="str">
        <x:v>Blank numeric + explicit quality; never invented zero</x:v>
      </x:c>
    </x:row>
    <x:row r="311" ht="65" customHeight="1">
      <x:c r="A311" s="18" t="str">
        <x:v>21_Historical_Baselines</x:v>
      </x:c>
      <x:c r="B311" s="18" t="str">
        <x:v>metric</x:v>
      </x:c>
      <x:c r="C311" s="18" t="str">
        <x:v>Metric; see sheet subtitle and companion audit prompt.</x:v>
      </x:c>
      <x:c r="D311" s="18" t="str">
        <x:v>Text</x:v>
      </x:c>
      <x:c r="E311" s="18" t="str">
        <x:v>Dated historical metric snapshot; windows may overlap</x:v>
      </x:c>
      <x:c r="F311" s="18" t="str">
        <x:v>Dimension / evidence; do not sum</x:v>
      </x:c>
      <x:c r="G311" s="18" t="str">
        <x:v>Blank numeric + explicit quality; never invented zero</x:v>
      </x:c>
    </x:row>
    <x:row r="312" ht="65" customHeight="1">
      <x:c r="A312" s="18" t="str">
        <x:v>21_Historical_Baselines</x:v>
      </x:c>
      <x:c r="B312" s="18" t="str">
        <x:v>value</x:v>
      </x:c>
      <x:c r="C312" s="18" t="str">
        <x:v>Value; see sheet subtitle and companion audit prompt.</x:v>
      </x:c>
      <x:c r="D312" s="18" t="str">
        <x:v>Number (when applicable)</x:v>
      </x:c>
      <x:c r="E312" s="18" t="str">
        <x:v>Dated historical metric snapshot; windows may overlap</x:v>
      </x:c>
      <x:c r="F312" s="18" t="str">
        <x:v>Dimension / evidence; do not sum</x:v>
      </x:c>
      <x:c r="G312" s="18" t="str">
        <x:v>Blank numeric + explicit quality; never invented zero</x:v>
      </x:c>
    </x:row>
    <x:row r="313" ht="65" customHeight="1">
      <x:c r="A313" s="18" t="str">
        <x:v>21_Historical_Baselines</x:v>
      </x:c>
      <x:c r="B313" s="18" t="str">
        <x:v>unit</x:v>
      </x:c>
      <x:c r="C313" s="18" t="str">
        <x:v>Unit; see sheet subtitle and companion audit prompt.</x:v>
      </x:c>
      <x:c r="D313" s="18" t="str">
        <x:v>Text</x:v>
      </x:c>
      <x:c r="E313" s="18" t="str">
        <x:v>Dated historical metric snapshot; windows may overlap</x:v>
      </x:c>
      <x:c r="F313" s="18" t="str">
        <x:v>Dimension / evidence; do not sum</x:v>
      </x:c>
      <x:c r="G313" s="18" t="str">
        <x:v>Blank numeric + explicit quality; never invented zero</x:v>
      </x:c>
    </x:row>
    <x:row r="314" ht="65" customHeight="1">
      <x:c r="A314" s="18" t="str">
        <x:v>21_Historical_Baselines</x:v>
      </x:c>
      <x:c r="B314" s="18" t="str">
        <x:v>precision</x:v>
      </x:c>
      <x:c r="C314" s="18" t="str">
        <x:v>Exact as documented, rounded, estimate, missing or user-reported.</x:v>
      </x:c>
      <x:c r="D314" s="18" t="str">
        <x:v>Text</x:v>
      </x:c>
      <x:c r="E314" s="18" t="str">
        <x:v>Dated historical metric snapshot; windows may overlap</x:v>
      </x:c>
      <x:c r="F314" s="18" t="str">
        <x:v>Dimension / evidence; do not sum</x:v>
      </x:c>
      <x:c r="G314" s="18" t="str">
        <x:v>Blank numeric + explicit quality; never invented zero</x:v>
      </x:c>
    </x:row>
    <x:row r="315" ht="65" customHeight="1">
      <x:c r="A315" s="18" t="str">
        <x:v>21_Historical_Baselines</x:v>
      </x:c>
      <x:c r="B315" s="18" t="str">
        <x:v>comparison_warning</x:v>
      </x:c>
      <x:c r="C315" s="18" t="str">
        <x:v>Comparison warning; see sheet subtitle and companion audit prompt.</x:v>
      </x:c>
      <x:c r="D315" s="18" t="str">
        <x:v>Text</x:v>
      </x:c>
      <x:c r="E315" s="18" t="str">
        <x:v>Dated historical metric snapshot; windows may overlap</x:v>
      </x:c>
      <x:c r="F315" s="18" t="str">
        <x:v>Dimension / evidence; do not sum</x:v>
      </x:c>
      <x:c r="G315" s="18" t="str">
        <x:v>Blank numeric + explicit quality; never invented zero</x:v>
      </x:c>
    </x:row>
    <x:row r="316" ht="65" customHeight="1">
      <x:c r="A316" s="18" t="str">
        <x:v>21_Historical_Baselines</x:v>
      </x:c>
      <x:c r="B316" s="18" t="str">
        <x:v>evidence_url</x:v>
      </x:c>
      <x:c r="C316" s="18" t="str">
        <x:v>Reproducible evidence URL for the specific observation, not a generic unsupported claim.</x:v>
      </x:c>
      <x:c r="D316" s="18" t="str">
        <x:v>Text</x:v>
      </x:c>
      <x:c r="E316" s="18" t="str">
        <x:v>Dated historical metric snapshot; windows may overlap</x:v>
      </x:c>
      <x:c r="F316" s="18" t="str">
        <x:v>Dimension / evidence; do not sum</x:v>
      </x:c>
      <x:c r="G316" s="18" t="str">
        <x:v>Blank numeric + explicit quality; never invented zero</x:v>
      </x:c>
    </x:row>
    <x:row r="317" ht="65" customHeight="1">
      <x:c r="A317" s="18" t="str">
        <x:v>22_Refresh_Log</x:v>
      </x:c>
      <x:c r="B317" s="18" t="str">
        <x:v>refresh_id</x:v>
      </x:c>
      <x:c r="C317" s="18" t="str">
        <x:v>Join to Refresh Log and archived source response/request manifest.</x:v>
      </x:c>
      <x:c r="D317" s="18" t="str">
        <x:v>Text</x:v>
      </x:c>
      <x:c r="E317" s="18" t="str">
        <x:v>One record per stated sheet entity / check / observation</x:v>
      </x:c>
      <x:c r="F317" s="18" t="str">
        <x:v>Dimension / evidence; do not sum</x:v>
      </x:c>
      <x:c r="G317" s="18" t="str">
        <x:v>Blank numeric + explicit quality; never invented zero</x:v>
      </x:c>
    </x:row>
    <x:row r="318" ht="65" customHeight="1">
      <x:c r="A318" s="18" t="str">
        <x:v>22_Refresh_Log</x:v>
      </x:c>
      <x:c r="B318" s="18" t="str">
        <x:v>started_at</x:v>
      </x:c>
      <x:c r="C318" s="18" t="str">
        <x:v>Started at; see sheet subtitle and companion audit prompt.</x:v>
      </x:c>
      <x:c r="D318" s="18" t="str">
        <x:v>Date / timestamp</x:v>
      </x:c>
      <x:c r="E318" s="18" t="str">
        <x:v>One record per stated sheet entity / check / observation</x:v>
      </x:c>
      <x:c r="F318" s="18" t="str">
        <x:v>Dimension / evidence; do not sum</x:v>
      </x:c>
      <x:c r="G318" s="18" t="str">
        <x:v>Blank numeric + explicit quality; never invented zero</x:v>
      </x:c>
    </x:row>
    <x:row r="319" ht="65" customHeight="1">
      <x:c r="A319" s="18" t="str">
        <x:v>22_Refresh_Log</x:v>
      </x:c>
      <x:c r="B319" s="18" t="str">
        <x:v>source</x:v>
      </x:c>
      <x:c r="C319" s="18" t="str">
        <x:v>Source; see sheet subtitle and companion audit prompt.</x:v>
      </x:c>
      <x:c r="D319" s="18" t="str">
        <x:v>Text</x:v>
      </x:c>
      <x:c r="E319" s="18" t="str">
        <x:v>One record per stated sheet entity / check / observation</x:v>
      </x:c>
      <x:c r="F319" s="18" t="str">
        <x:v>Dimension / evidence; do not sum</x:v>
      </x:c>
      <x:c r="G319" s="18" t="str">
        <x:v>Blank numeric + explicit quality; never invented zero</x:v>
      </x:c>
    </x:row>
    <x:row r="320" ht="65" customHeight="1">
      <x:c r="A320" s="18" t="str">
        <x:v>22_Refresh_Log</x:v>
      </x:c>
      <x:c r="B320" s="18" t="str">
        <x:v>scope</x:v>
      </x:c>
      <x:c r="C320" s="18" t="str">
        <x:v>Scope; see sheet subtitle and companion audit prompt.</x:v>
      </x:c>
      <x:c r="D320" s="18" t="str">
        <x:v>Text</x:v>
      </x:c>
      <x:c r="E320" s="18" t="str">
        <x:v>One record per stated sheet entity / check / observation</x:v>
      </x:c>
      <x:c r="F320" s="18" t="str">
        <x:v>Dimension / evidence; do not sum</x:v>
      </x:c>
      <x:c r="G320" s="18" t="str">
        <x:v>Blank numeric + explicit quality; never invented zero</x:v>
      </x:c>
    </x:row>
    <x:row r="321" ht="65" customHeight="1">
      <x:c r="A321" s="18" t="str">
        <x:v>22_Refresh_Log</x:v>
      </x:c>
      <x:c r="B321" s="18" t="str">
        <x:v>requested_start</x:v>
      </x:c>
      <x:c r="C321" s="18" t="str">
        <x:v>Requested start; see sheet subtitle and companion audit prompt.</x:v>
      </x:c>
      <x:c r="D321" s="18" t="str">
        <x:v>Text</x:v>
      </x:c>
      <x:c r="E321" s="18" t="str">
        <x:v>One record per stated sheet entity / check / observation</x:v>
      </x:c>
      <x:c r="F321" s="18" t="str">
        <x:v>Dimension / evidence; do not sum</x:v>
      </x:c>
      <x:c r="G321" s="18" t="str">
        <x:v>Blank numeric + explicit quality; never invented zero</x:v>
      </x:c>
    </x:row>
    <x:row r="322" ht="65" customHeight="1">
      <x:c r="A322" s="18" t="str">
        <x:v>22_Refresh_Log</x:v>
      </x:c>
      <x:c r="B322" s="18" t="str">
        <x:v>requested_end</x:v>
      </x:c>
      <x:c r="C322" s="18" t="str">
        <x:v>Requested end; see sheet subtitle and companion audit prompt.</x:v>
      </x:c>
      <x:c r="D322" s="18" t="str">
        <x:v>Text</x:v>
      </x:c>
      <x:c r="E322" s="18" t="str">
        <x:v>One record per stated sheet entity / check / observation</x:v>
      </x:c>
      <x:c r="F322" s="18" t="str">
        <x:v>Dimension / evidence; do not sum</x:v>
      </x:c>
      <x:c r="G322" s="18" t="str">
        <x:v>Blank numeric + explicit quality; never invented zero</x:v>
      </x:c>
    </x:row>
    <x:row r="323" ht="65" customHeight="1">
      <x:c r="A323" s="18" t="str">
        <x:v>22_Refresh_Log</x:v>
      </x:c>
      <x:c r="B323" s="18" t="str">
        <x:v>last_complete_date</x:v>
      </x:c>
      <x:c r="C323" s="18" t="str">
        <x:v>Last complete date; see sheet subtitle and companion audit prompt.</x:v>
      </x:c>
      <x:c r="D323" s="18" t="str">
        <x:v>Date / timestamp</x:v>
      </x:c>
      <x:c r="E323" s="18" t="str">
        <x:v>One record per stated sheet entity / check / observation</x:v>
      </x:c>
      <x:c r="F323" s="18" t="str">
        <x:v>Dimension / evidence; do not sum</x:v>
      </x:c>
      <x:c r="G323" s="18" t="str">
        <x:v>Blank numeric + explicit quality; never invented zero</x:v>
      </x:c>
    </x:row>
    <x:row r="324" ht="65" customHeight="1">
      <x:c r="A324" s="18" t="str">
        <x:v>22_Refresh_Log</x:v>
      </x:c>
      <x:c r="B324" s="18" t="str">
        <x:v>rows_received</x:v>
      </x:c>
      <x:c r="C324" s="18" t="str">
        <x:v>Rows received; see sheet subtitle and companion audit prompt.</x:v>
      </x:c>
      <x:c r="D324" s="18" t="str">
        <x:v>Text</x:v>
      </x:c>
      <x:c r="E324" s="18" t="str">
        <x:v>One record per stated sheet entity / check / observation</x:v>
      </x:c>
      <x:c r="F324" s="18" t="str">
        <x:v>Dimension / evidence; do not sum</x:v>
      </x:c>
      <x:c r="G324" s="18" t="str">
        <x:v>Blank numeric + explicit quality; never invented zero</x:v>
      </x:c>
    </x:row>
    <x:row r="325" ht="65" customHeight="1">
      <x:c r="A325" s="18" t="str">
        <x:v>22_Refresh_Log</x:v>
      </x:c>
      <x:c r="B325" s="18" t="str">
        <x:v>status</x:v>
      </x:c>
      <x:c r="C325" s="18" t="str">
        <x:v>Workflow or test status; only Verified/Passed with reproducible evidence.</x:v>
      </x:c>
      <x:c r="D325" s="18" t="str">
        <x:v>Text</x:v>
      </x:c>
      <x:c r="E325" s="18" t="str">
        <x:v>One record per stated sheet entity / check / observation</x:v>
      </x:c>
      <x:c r="F325" s="18" t="str">
        <x:v>Dimension / evidence; do not sum</x:v>
      </x:c>
      <x:c r="G325" s="18" t="str">
        <x:v>Blank numeric + explicit quality; never invented zero</x:v>
      </x:c>
    </x:row>
    <x:row r="326" ht="65" customHeight="1">
      <x:c r="A326" s="18" t="str">
        <x:v>22_Refresh_Log</x:v>
      </x:c>
      <x:c r="B326" s="18" t="str">
        <x:v>pagination_or_limit</x:v>
      </x:c>
      <x:c r="C326" s="18" t="str">
        <x:v>Pagination or limit; see sheet subtitle and companion audit prompt.</x:v>
      </x:c>
      <x:c r="D326" s="18" t="str">
        <x:v>Text</x:v>
      </x:c>
      <x:c r="E326" s="18" t="str">
        <x:v>One record per stated sheet entity / check / observation</x:v>
      </x:c>
      <x:c r="F326" s="18" t="str">
        <x:v>Dimension / evidence; do not sum</x:v>
      </x:c>
      <x:c r="G326" s="18" t="str">
        <x:v>Blank numeric + explicit quality; never invented zero</x:v>
      </x:c>
    </x:row>
    <x:row r="327" ht="65" customHeight="1">
      <x:c r="A327" s="18" t="str">
        <x:v>22_Refresh_Log</x:v>
      </x:c>
      <x:c r="B327" s="18" t="str">
        <x:v>data_quality</x:v>
      </x:c>
      <x:c r="C327" s="18" t="str">
        <x:v>Measured, missing, incomplete, thresholded or other clearly explained status.</x:v>
      </x:c>
      <x:c r="D327" s="18" t="str">
        <x:v>Text</x:v>
      </x:c>
      <x:c r="E327" s="18" t="str">
        <x:v>One record per stated sheet entity / check / observation</x:v>
      </x:c>
      <x:c r="F327" s="18" t="str">
        <x:v>Dimension / evidence; do not sum</x:v>
      </x:c>
      <x:c r="G327" s="18" t="str">
        <x:v>Blank numeric + explicit quality; never invented zero</x:v>
      </x:c>
    </x:row>
    <x:row r="328" ht="65" customHeight="1">
      <x:c r="A328" s="18" t="str">
        <x:v>22_Refresh_Log</x:v>
      </x:c>
      <x:c r="B328" s="18" t="str">
        <x:v>evidence_path</x:v>
      </x:c>
      <x:c r="C328" s="18" t="str">
        <x:v>Evidence path; see sheet subtitle and companion audit prompt.</x:v>
      </x:c>
      <x:c r="D328" s="18" t="str">
        <x:v>Text</x:v>
      </x:c>
      <x:c r="E328" s="18" t="str">
        <x:v>One record per stated sheet entity / check / observation</x:v>
      </x:c>
      <x:c r="F328" s="18" t="str">
        <x:v>Dimension / evidence; do not sum</x:v>
      </x:c>
      <x:c r="G328" s="18" t="str">
        <x:v>Blank numeric + explicit quality; never invented zero</x:v>
      </x:c>
    </x:row>
    <x:row r="329" ht="65" customHeight="1">
      <x:c r="A329" s="18" t="str">
        <x:v>22_Refresh_Log</x:v>
      </x:c>
      <x:c r="B329" s="18" t="str">
        <x:v>next_action</x:v>
      </x:c>
      <x:c r="C329" s="18" t="str">
        <x:v>Next action; see sheet subtitle and companion audit prompt.</x:v>
      </x:c>
      <x:c r="D329" s="18" t="str">
        <x:v>Text</x:v>
      </x:c>
      <x:c r="E329" s="18" t="str">
        <x:v>One record per stated sheet entity / check / observation</x:v>
      </x:c>
      <x:c r="F329" s="18" t="str">
        <x:v>Dimension / evidence; do not sum</x:v>
      </x:c>
      <x:c r="G329" s="18" t="str">
        <x:v>Blank numeric + explicit quality; never invented zero</x:v>
      </x:c>
    </x:row>
    <x:row r="330" ht="65" customHeight="1">
      <x:c r="A330" s="18" t="str">
        <x:v>24_Sources</x:v>
      </x:c>
      <x:c r="B330" s="18" t="str">
        <x:v>source_id</x:v>
      </x:c>
      <x:c r="C330" s="18" t="str">
        <x:v>Source id; see sheet subtitle and companion audit prompt.</x:v>
      </x:c>
      <x:c r="D330" s="18" t="str">
        <x:v>Text</x:v>
      </x:c>
      <x:c r="E330" s="18" t="str">
        <x:v>One record per stated sheet entity / check / observation</x:v>
      </x:c>
      <x:c r="F330" s="18" t="str">
        <x:v>Dimension / evidence; do not sum</x:v>
      </x:c>
      <x:c r="G330" s="18" t="str">
        <x:v>Blank numeric + explicit quality; never invented zero</x:v>
      </x:c>
    </x:row>
    <x:row r="331" ht="65" customHeight="1">
      <x:c r="A331" s="18" t="str">
        <x:v>24_Sources</x:v>
      </x:c>
      <x:c r="B331" s="18" t="str">
        <x:v>description</x:v>
      </x:c>
      <x:c r="C331" s="18" t="str">
        <x:v>Description; see sheet subtitle and companion audit prompt.</x:v>
      </x:c>
      <x:c r="D331" s="18" t="str">
        <x:v>Text</x:v>
      </x:c>
      <x:c r="E331" s="18" t="str">
        <x:v>One record per stated sheet entity / check / observation</x:v>
      </x:c>
      <x:c r="F331" s="18" t="str">
        <x:v>Dimension / evidence; do not sum</x:v>
      </x:c>
      <x:c r="G331" s="18" t="str">
        <x:v>Blank numeric + explicit quality; never invented zero</x:v>
      </x:c>
    </x:row>
    <x:row r="332" ht="65" customHeight="1">
      <x:c r="A332" s="18" t="str">
        <x:v>24_Sources</x:v>
      </x:c>
      <x:c r="B332" s="18" t="str">
        <x:v>url</x:v>
      </x:c>
      <x:c r="C332" s="18" t="str">
        <x:v>Url; see sheet subtitle and companion audit prompt.</x:v>
      </x:c>
      <x:c r="D332" s="18" t="str">
        <x:v>Text</x:v>
      </x:c>
      <x:c r="E332" s="18" t="str">
        <x:v>One record per stated sheet entity / check / observation</x:v>
      </x:c>
      <x:c r="F332" s="18" t="str">
        <x:v>Dimension / evidence; do not sum</x:v>
      </x:c>
      <x:c r="G332" s="18" t="str">
        <x:v>Blank numeric + explicit quality; never invented zero</x:v>
      </x:c>
    </x:row>
    <x:row r="333" ht="65" customHeight="1">
      <x:c r="A333" s="18" t="str">
        <x:v>24_Sources</x:v>
      </x:c>
      <x:c r="B333" s="18" t="str">
        <x:v>observation_or_retrieval</x:v>
      </x:c>
      <x:c r="C333" s="18" t="str">
        <x:v>Observation or retrieval; see sheet subtitle and companion audit prompt.</x:v>
      </x:c>
      <x:c r="D333" s="18" t="str">
        <x:v>Text</x:v>
      </x:c>
      <x:c r="E333" s="18" t="str">
        <x:v>One record per stated sheet entity / check / observation</x:v>
      </x:c>
      <x:c r="F333" s="18" t="str">
        <x:v>Dimension / evidence; do not sum</x:v>
      </x:c>
      <x:c r="G333" s="18" t="str">
        <x:v>Blank numeric + explicit quality; never invented zero</x:v>
      </x:c>
    </x:row>
    <x:row r="334" ht="65" customHeight="1">
      <x:c r="A334" s="18" t="str">
        <x:v>24_Sources</x:v>
      </x:c>
      <x:c r="B334" s="18" t="str">
        <x:v>limitations</x:v>
      </x:c>
      <x:c r="C334" s="18" t="str">
        <x:v>Limitations; see sheet subtitle and companion audit prompt.</x:v>
      </x:c>
      <x:c r="D334" s="18" t="str">
        <x:v>Text</x:v>
      </x:c>
      <x:c r="E334" s="18" t="str">
        <x:v>One record per stated sheet entity / check / observation</x:v>
      </x:c>
      <x:c r="F334" s="18" t="str">
        <x:v>Dimension / evidence; do not sum</x:v>
      </x:c>
      <x:c r="G334" s="18" t="str">
        <x:v>Blank numeric + explicit quality; never invented zero</x:v>
      </x:c>
    </x:row>
    <x:row r="335" ht="65" customHeight="1">
      <x:c r="A335" s="18" t="str">
        <x:v>26_GSC_Property_Daily</x:v>
      </x:c>
      <x:c r="B335" s="18" t="str">
        <x:v>date</x:v>
      </x:c>
      <x:c r="C335" s="18" t="str">
        <x:v>Source-local reporting date. GSC and GA4 may use different timezones.</x:v>
      </x:c>
      <x:c r="D335" s="18" t="str">
        <x:v>Date / timestamp</x:v>
      </x:c>
      <x:c r="E335" s="18" t="str">
        <x:v>Date × search type; property-level controls</x:v>
      </x:c>
      <x:c r="F335" s="18" t="str">
        <x:v>Dimension / evidence; do not sum</x:v>
      </x:c>
      <x:c r="G335" s="18" t="str">
        <x:v>Blank numeric + explicit quality; never invented zero</x:v>
      </x:c>
    </x:row>
    <x:row r="336" ht="65" customHeight="1">
      <x:c r="A336" s="18" t="str">
        <x:v>26_GSC_Property_Daily</x:v>
      </x:c>
      <x:c r="B336" s="18" t="str">
        <x:v>search_type</x:v>
      </x:c>
      <x:c r="C336" s="18" t="str">
        <x:v>Search type; see sheet subtitle and companion audit prompt.</x:v>
      </x:c>
      <x:c r="D336" s="18" t="str">
        <x:v>Text</x:v>
      </x:c>
      <x:c r="E336" s="18" t="str">
        <x:v>Date × search type; property-level controls</x:v>
      </x:c>
      <x:c r="F336" s="18" t="str">
        <x:v>Dimension / evidence; do not sum</x:v>
      </x:c>
      <x:c r="G336" s="18" t="str">
        <x:v>Blank numeric + explicit quality; never invented zero</x:v>
      </x:c>
    </x:row>
    <x:row r="337" ht="65" customHeight="1">
      <x:c r="A337" s="18" t="str">
        <x:v>26_GSC_Property_Daily</x:v>
      </x:c>
      <x:c r="B337" s="18" t="str">
        <x:v>clicks</x:v>
      </x:c>
      <x:c r="C337" s="18" t="str">
        <x:v>Observed GSC clicks for this exact row grain; never add page/query/property views together.</x:v>
      </x:c>
      <x:c r="D337" s="18" t="str">
        <x:v>Number (when applicable)</x:v>
      </x:c>
      <x:c r="E337" s="18" t="str">
        <x:v>Date × search type; property-level controls</x:v>
      </x:c>
      <x:c r="F337" s="18" t="str">
        <x:v>Sum only compatible, deduplicated rows and non-overlapping windows</x:v>
      </x:c>
      <x:c r="G337" s="18" t="str">
        <x:v>Blank numeric + explicit quality; never invented zero</x:v>
      </x:c>
    </x:row>
    <x:row r="338" ht="65" customHeight="1">
      <x:c r="A338" s="18" t="str">
        <x:v>26_GSC_Property_Daily</x:v>
      </x:c>
      <x:c r="B338" s="18" t="str">
        <x:v>impressions</x:v>
      </x:c>
      <x:c r="C338" s="18" t="str">
        <x:v>Observed GSC impressions for this exact row grain.</x:v>
      </x:c>
      <x:c r="D338" s="18" t="str">
        <x:v>Number (when applicable)</x:v>
      </x:c>
      <x:c r="E338" s="18" t="str">
        <x:v>Date × search type; property-level controls</x:v>
      </x:c>
      <x:c r="F338" s="18" t="str">
        <x:v>Sum only compatible, deduplicated rows and non-overlapping windows</x:v>
      </x:c>
      <x:c r="G338" s="18" t="str">
        <x:v>Blank numeric + explicit quality; never invented zero</x:v>
      </x:c>
    </x:row>
    <x:row r="339" ht="65" customHeight="1">
      <x:c r="A339" s="18" t="str">
        <x:v>26_GSC_Property_Daily</x:v>
      </x:c>
      <x:c r="B339" s="18" t="str">
        <x:v>avg_position</x:v>
      </x:c>
      <x:c r="C339" s="18" t="str">
        <x:v>Source average position for this exact GSC row grain; not a stable target-keyword rank.</x:v>
      </x:c>
      <x:c r="D339" s="18" t="str">
        <x:v>Number (when applicable)</x:v>
      </x:c>
      <x:c r="E339" s="18" t="str">
        <x:v>Date × search type; property-level controls</x:v>
      </x:c>
      <x:c r="F339" s="18" t="str">
        <x:v>Impression-weight at the same grain; preserve source caveats</x:v>
      </x:c>
      <x:c r="G339" s="18" t="str">
        <x:v>Blank numeric + explicit quality; never invented zero</x:v>
      </x:c>
    </x:row>
    <x:row r="340" ht="65" customHeight="1">
      <x:c r="A340" s="18" t="str">
        <x:v>26_GSC_Property_Daily</x:v>
      </x:c>
      <x:c r="B340" s="18" t="str">
        <x:v>ctr</x:v>
      </x:c>
      <x:c r="C340" s="18" t="str">
        <x:v>Clicks divided by impressions. Recompute at the chosen grain; never average row CTRs.</x:v>
      </x:c>
      <x:c r="D340" s="18" t="str">
        <x:v>Number (when applicable)</x:v>
      </x:c>
      <x:c r="E340" s="18" t="str">
        <x:v>Date × search type; property-level controls</x:v>
      </x:c>
      <x:c r="F340" s="18" t="str">
        <x:v>Ratio of aggregate numerator / denominator</x:v>
      </x:c>
      <x:c r="G340" s="18" t="str">
        <x:v>Blank numeric + explicit quality; never invented zero</x:v>
      </x:c>
    </x:row>
    <x:row r="341" ht="65" customHeight="1">
      <x:c r="A341" s="18" t="str">
        <x:v>26_GSC_Property_Daily</x:v>
      </x:c>
      <x:c r="B341" s="18" t="str">
        <x:v>refresh_id</x:v>
      </x:c>
      <x:c r="C341" s="18" t="str">
        <x:v>Join to Refresh Log and archived source response/request manifest.</x:v>
      </x:c>
      <x:c r="D341" s="18" t="str">
        <x:v>Text</x:v>
      </x:c>
      <x:c r="E341" s="18" t="str">
        <x:v>Date × search type; property-level controls</x:v>
      </x:c>
      <x:c r="F341" s="18" t="str">
        <x:v>Dimension / evidence; do not sum</x:v>
      </x:c>
      <x:c r="G341" s="18" t="str">
        <x:v>Blank numeric + explicit quality; never invented zero</x:v>
      </x:c>
    </x:row>
    <x:row r="342" ht="65" customHeight="1">
      <x:c r="A342" s="18" t="str">
        <x:v>26_GSC_Property_Daily</x:v>
      </x:c>
      <x:c r="B342" s="18" t="str">
        <x:v>data_state</x:v>
      </x:c>
      <x:c r="C342" s="18" t="str">
        <x:v>GSC source status such as final or provisional; monthly calculations include final only.</x:v>
      </x:c>
      <x:c r="D342" s="18" t="str">
        <x:v>Text</x:v>
      </x:c>
      <x:c r="E342" s="18" t="str">
        <x:v>Date × search type; property-level controls</x:v>
      </x:c>
      <x:c r="F342" s="18" t="str">
        <x:v>Dimension / evidence; do not sum</x:v>
      </x:c>
      <x:c r="G342" s="18" t="str">
        <x:v>Blank numeric + explicit quality; never invented zero</x:v>
      </x:c>
    </x:row>
    <x:row r="343" ht="65" customHeight="1">
      <x:c r="A343" s="18" t="str">
        <x:v>26_GSC_Property_Daily</x:v>
      </x:c>
      <x:c r="B343" s="18" t="str">
        <x:v>source_timezone</x:v>
      </x:c>
      <x:c r="C343" s="18" t="str">
        <x:v>Source timezone; see sheet subtitle and companion audit prompt.</x:v>
      </x:c>
      <x:c r="D343" s="18" t="str">
        <x:v>Text</x:v>
      </x:c>
      <x:c r="E343" s="18" t="str">
        <x:v>Date × search type; property-level controls</x:v>
      </x:c>
      <x:c r="F343" s="18" t="str">
        <x:v>Dimension / evidence; do not sum</x:v>
      </x:c>
      <x:c r="G343" s="18" t="str">
        <x:v>Blank numeric + explicit quality; never invented zero</x:v>
      </x:c>
    </x:row>
    <x:row r="344" ht="65" customHeight="1">
      <x:c r="A344" s="18" t="str">
        <x:v>26_GSC_Property_Daily</x:v>
      </x:c>
      <x:c r="B344" s="18" t="str">
        <x:v>data_quality</x:v>
      </x:c>
      <x:c r="C344" s="18" t="str">
        <x:v>Measured, missing, incomplete, thresholded or other clearly explained status.</x:v>
      </x:c>
      <x:c r="D344" s="18" t="str">
        <x:v>Text</x:v>
      </x:c>
      <x:c r="E344" s="18" t="str">
        <x:v>Date × search type; property-level controls</x:v>
      </x:c>
      <x:c r="F344" s="18" t="str">
        <x:v>Dimension / evidence; do not sum</x:v>
      </x:c>
      <x:c r="G344" s="18" t="str">
        <x:v>Blank numeric + explicit quality; never invented zero</x:v>
      </x:c>
    </x:row>
    <x:row r="345" ht="65" customHeight="1">
      <x:c r="A345" s="18" t="str">
        <x:v>26_GSC_Property_Daily</x:v>
      </x:c>
      <x:c r="B345" s="18" t="str">
        <x:v>source</x:v>
      </x:c>
      <x:c r="C345" s="18" t="str">
        <x:v>Source; see sheet subtitle and companion audit prompt.</x:v>
      </x:c>
      <x:c r="D345" s="18" t="str">
        <x:v>Text</x:v>
      </x:c>
      <x:c r="E345" s="18" t="str">
        <x:v>Date × search type; property-level controls</x:v>
      </x:c>
      <x:c r="F345" s="18" t="str">
        <x:v>Dimension / evidence; do not sum</x:v>
      </x:c>
      <x:c r="G345" s="18" t="str">
        <x:v>Blank numeric + explicit quality; never invented zero</x:v>
      </x:c>
    </x:row>
    <x:row r="346" ht="65" customHeight="1">
      <x:c r="A346" s="18" t="str">
        <x:v>25_Config</x:v>
      </x:c>
      <x:c r="B346" s="18" t="str">
        <x:v>parameter</x:v>
      </x:c>
      <x:c r="C346" s="18" t="str">
        <x:v>Parameter; see sheet subtitle and companion audit prompt.</x:v>
      </x:c>
      <x:c r="D346" s="18" t="str">
        <x:v>Text</x:v>
      </x:c>
      <x:c r="E346" s="18" t="str">
        <x:v>One record per stated sheet entity / check / observation</x:v>
      </x:c>
      <x:c r="F346" s="18" t="str">
        <x:v>Dimension / evidence; do not sum</x:v>
      </x:c>
      <x:c r="G346" s="18" t="str">
        <x:v>Blank numeric + explicit quality; never invented zero</x:v>
      </x:c>
    </x:row>
    <x:row r="347" ht="65" customHeight="1">
      <x:c r="A347" s="18" t="str">
        <x:v>25_Config</x:v>
      </x:c>
      <x:c r="B347" s="18" t="str">
        <x:v>value</x:v>
      </x:c>
      <x:c r="C347" s="18" t="str">
        <x:v>Value; see sheet subtitle and companion audit prompt.</x:v>
      </x:c>
      <x:c r="D347" s="18" t="str">
        <x:v>Number (when applicable)</x:v>
      </x:c>
      <x:c r="E347" s="18" t="str">
        <x:v>One record per stated sheet entity / check / observation</x:v>
      </x:c>
      <x:c r="F347" s="18" t="str">
        <x:v>Dimension / evidence; do not sum</x:v>
      </x:c>
      <x:c r="G347" s="18" t="str">
        <x:v>Blank numeric + explicit quality; never invented zero</x:v>
      </x:c>
    </x:row>
    <x:row r="348" ht="65" customHeight="1">
      <x:c r="A348" s="18" t="str">
        <x:v>25_Config</x:v>
      </x:c>
      <x:c r="B348" s="18" t="str">
        <x:v>rule</x:v>
      </x:c>
      <x:c r="C348" s="18" t="str">
        <x:v>Rule; see sheet subtitle and companion audit prompt.</x:v>
      </x:c>
      <x:c r="D348" s="18" t="str">
        <x:v>Text</x:v>
      </x:c>
      <x:c r="E348" s="18" t="str">
        <x:v>One record per stated sheet entity / check / observation</x:v>
      </x:c>
      <x:c r="F348" s="18" t="str">
        <x:v>Dimension / evidence; do not sum</x:v>
      </x:c>
      <x:c r="G348" s="18" t="str">
        <x:v>Blank numeric + explicit quality; never invented zero</x:v>
      </x:c>
    </x:row>
    <x:row r="349" ht="65" customHeight="1">
      <x:c r="A349" s="18" t="str">
        <x:v>25_Config</x:v>
      </x:c>
      <x:c r="B349" s="18" t="str">
        <x:v>source</x:v>
      </x:c>
      <x:c r="C349" s="18" t="str">
        <x:v>Source; see sheet subtitle and companion audit prompt.</x:v>
      </x:c>
      <x:c r="D349" s="18" t="str">
        <x:v>Text</x:v>
      </x:c>
      <x:c r="E349" s="18" t="str">
        <x:v>One record per stated sheet entity / check / observation</x:v>
      </x:c>
      <x:c r="F349" s="18" t="str">
        <x:v>Dimension / evidence; do not sum</x:v>
      </x:c>
      <x:c r="G349" s="18" t="str">
        <x:v>Blank numeric + explicit quality; never invented zero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837217b614dc4959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8" hidden="0" customWidth="1"/>
    <x:col min="3" max="3" width="48" hidden="0" customWidth="1"/>
    <x:col min="4" max="4" width="48" hidden="0" customWidth="1"/>
  </x:cols>
  <x:sheetData>
    <x:row r="1" ht="34" customHeight="1">
      <x:c r="A1" s="3" t="str">
        <x:v>CONFIG</x:v>
      </x:c>
      <x:c r="B1" s="3"/>
      <x:c r="C1" s="3"/>
      <x:c r="D1" s="3"/>
    </x:row>
    <x:row r="2" ht="23" customHeight="1">
      <x:c r="A2" s="7" t="str">
        <x:v>Editable report controls. Source freshness and currency are deliberately blank until verified.</x:v>
      </x:c>
      <x:c r="B2" s="7"/>
      <x:c r="C2" s="7"/>
      <x:c r="D2" s="7"/>
    </x:row>
    <x:row r="3" ht="23" customHeight="1">
      <x:c r="A3" s="7"/>
      <x:c r="B3" s="7"/>
      <x:c r="C3" s="7"/>
      <x:c r="D3" s="7"/>
    </x:row>
    <x:row r="5" ht="32" customHeight="1">
      <x:c r="A5" s="12" t="str">
        <x:v>parameter</x:v>
      </x:c>
      <x:c r="B5" s="12" t="str">
        <x:v>value</x:v>
      </x:c>
      <x:c r="C5" s="12" t="str">
        <x:v>rule</x:v>
      </x:c>
      <x:c r="D5" s="12" t="str">
        <x:v>source</x:v>
      </x:c>
    </x:row>
    <x:row r="6" ht="58" customHeight="1">
      <x:c r="A6" s="18" t="str">
        <x:v>as_of_date</x:v>
      </x:c>
      <x:c r="B6" s="32" t="n">
        <x:v>46280</x:v>
      </x:c>
      <x:c r="C6" s="18" t="str">
        <x:v>Workbook preparation date, not data freshness</x:v>
      </x:c>
      <x:c r="D6" s="18" t="str">
        <x:v>User task</x:v>
      </x:c>
    </x:row>
    <x:row r="7" ht="58" customHeight="1">
      <x:c r="A7" s="18" t="str">
        <x:v>reported_launch_date</x:v>
      </x:c>
      <x:c r="B7" s="32" t="n">
        <x:v>46224</x:v>
      </x:c>
      <x:c r="C7" s="18" t="str">
        <x:v>User reported 21 July; 2026 is the working year, verify deployment</x:v>
      </x:c>
      <x:c r="D7" s="18" t="str">
        <x:v>User brief</x:v>
      </x:c>
    </x:row>
    <x:row r="8" ht="58" customHeight="1">
      <x:c r="A8" s="18" t="str">
        <x:v>reported_seo_start</x:v>
      </x:c>
      <x:c r="B8" s="33" t="str">
        <x:v>Early August 2026</x:v>
      </x:c>
      <x:c r="C8" s="18" t="str">
        <x:v>No exact day has been invented</x:v>
      </x:c>
      <x:c r="D8" s="18" t="str">
        <x:v>User brief</x:v>
      </x:c>
    </x:row>
    <x:row r="9" ht="58" customHeight="1">
      <x:c r="A9" s="18" t="str">
        <x:v>gsc_last_complete_date</x:v>
      </x:c>
      <x:c r="B9" s="32"/>
      <x:c r="C9" s="18" t="str">
        <x:v>Populate from successful source freshness check</x:v>
      </x:c>
      <x:c r="D9" s="18" t="str">
        <x:v>https://developers.google.com/webmaster-tools/v1/searchanalytics/query</x:v>
      </x:c>
    </x:row>
    <x:row r="10" ht="58" customHeight="1">
      <x:c r="A10" s="18" t="str">
        <x:v>ga4_last_complete_date</x:v>
      </x:c>
      <x:c r="B10" s="32"/>
      <x:c r="C10" s="18" t="str">
        <x:v>Populate from successful source freshness check</x:v>
      </x:c>
      <x:c r="D10" s="18" t="str">
        <x:v>https://developers.google.com/analytics/devguides/reporting/data/v1/rest/v1beta/ResponseMetaData</x:v>
      </x:c>
    </x:row>
    <x:row r="11" ht="58" customHeight="1">
      <x:c r="A11" s="18" t="str">
        <x:v>reporting_currency</x:v>
      </x:c>
      <x:c r="B11" s="33"/>
      <x:c r="C11" s="18" t="str">
        <x:v>Verify before combining monetary values</x:v>
      </x:c>
      <x:c r="D11" s="18" t="str">
        <x:v>https://developers.google.com/analytics/devguides/reporting/data/v1/api-schema</x:v>
      </x:c>
    </x:row>
    <x:row r="12" ht="58" customHeight="1">
      <x:c r="A12" s="18" t="str">
        <x:v>selected_month</x:v>
      </x:c>
      <x:c r="B12" s="32" t="n">
        <x:v>46266</x:v>
      </x:c>
      <x:c r="C12" s="18" t="str">
        <x:v>First day of selected reporting month</x:v>
      </x:c>
      <x:c r="D12" s="18" t="str">
        <x:v>Workbook control</x:v>
      </x:c>
    </x:row>
    <x:row r="13" ht="58" customHeight="1">
      <x:c r="A13" s="18" t="str">
        <x:v>low_sample_impressions</x:v>
      </x:c>
      <x:c r="B13" s="33" t="n">
        <x:v>100</x:v>
      </x:c>
      <x:c r="C13" s="18" t="str">
        <x:v>Editable analyst heuristic, not a Google rule</x:v>
      </x:c>
      <x:c r="D13" s="18" t="str">
        <x:v>Analyst default</x:v>
      </x:c>
    </x:row>
    <x:row r="14" ht="58" customHeight="1">
      <x:c r="A14" s="18" t="str">
        <x:v>rolling_backfill_days</x:v>
      </x:c>
      <x:c r="B14" s="33" t="n">
        <x:v>14</x:v>
      </x:c>
      <x:c r="C14" s="18" t="str">
        <x:v>Editable refresh lookback; source finality remains authoritative</x:v>
      </x:c>
      <x:c r="D14" s="18" t="str">
        <x:v>Analyst default</x:v>
      </x:c>
    </x:row>
    <x:row r="15" ht="58" customHeight="1">
      <x:c r="A15" s="18" t="str">
        <x:v>schema_version</x:v>
      </x:c>
      <x:c r="B15" s="33" t="str">
        <x:v>1.0</x:v>
      </x:c>
      <x:c r="C15" s="18" t="str">
        <x:v>Update when table definitions change</x:v>
      </x:c>
      <x:c r="D15" s="18" t="str">
        <x:v>Workbook control</x:v>
      </x:c>
    </x:row>
    <x:row r="16" ht="58" customHeight="1">
      <x:c r="A16" s="18" t="str">
        <x:v>ledger_retrieved_header_date</x:v>
      </x:c>
      <x:c r="B16" s="32" t="n">
        <x:v>46274</x:v>
      </x:c>
      <x:c r="C16" s="18" t="str">
        <x:v>Last operational update stated by retrieved ledger header</x:v>
      </x:c>
      <x:c r="D16" s="18" t="str">
        <x:v>https://github.com/myglobalhealthonline/global-health-website/blob/main/docs/plans/seo-control-state.md</x:v>
      </x:c>
    </x:row>
    <x:row r="17" ht="58" customHeight="1">
      <x:c r="A17" s="18" t="str">
        <x:v>scheduled_refresh_active</x:v>
      </x:c>
      <x:c r="B17" s="33" t="str">
        <x:v>No</x:v>
      </x:c>
      <x:c r="C17" s="18" t="str">
        <x:v>Workbook does not self-refresh; no scheduled job was created</x:v>
      </x:c>
      <x:c r="D17" s="18" t="str">
        <x:v>Current session</x:v>
      </x:c>
    </x:row>
    <x:row r="18" ht="58" customHeight="1">
      <x:c r="A18" s="18" t="str">
        <x:v>issue_score_rule</x:v>
      </x:c>
      <x:c r="B18" s="33" t="str">
        <x:v>Impact × confidence ÷ effort</x:v>
      </x:c>
      <x:c r="C18" s="18" t="str">
        <x:v>P0/clinical/privacy blockers override ranking score</x:v>
      </x:c>
      <x:c r="D18" s="18" t="str">
        <x:v>Analyst workflow</x:v>
      </x:c>
    </x:row>
    <x:row r="19" ht="58" customHeight="1">
      <x:c r="A19" s="18" t="str">
        <x:v>missing_numeric_rule</x:v>
      </x:c>
      <x:c r="B19" s="33" t="str">
        <x:v>Blank + data_quality</x:v>
      </x:c>
      <x:c r="C19" s="18" t="str">
        <x:v>Zero is only valid when the source actually measured zero</x:v>
      </x:c>
      <x:c r="D19" s="18" t="str">
        <x:v>Workbook control</x:v>
      </x:c>
    </x:row>
    <x:row r="20" ht="58" customHeight="1">
      <x:c r="A20" s="18" t="str">
        <x:v>historical_GA4_gap_start</x:v>
      </x:c>
      <x:c r="B20" s="32" t="n">
        <x:v>46236</x:v>
      </x:c>
      <x:c r="C20" s="18" t="str">
        <x:v>Documented collection interruption; recheck source context</x:v>
      </x:c>
      <x:c r="D20" s="18" t="str">
        <x:v>https://github.com/myglobalhealthonline/global-health-website/blob/main/docs/plans/seo-handover-codex.md</x:v>
      </x:c>
    </x:row>
    <x:row r="21" ht="58" customHeight="1">
      <x:c r="A21" s="18" t="str">
        <x:v>historical_GA4_gap_end</x:v>
      </x:c>
      <x:c r="B21" s="32" t="n">
        <x:v>46273</x:v>
      </x:c>
      <x:c r="C21" s="18" t="str">
        <x:v>Day before documented restoration; not a reconstructed time series</x:v>
      </x:c>
      <x:c r="D21" s="18" t="str">
        <x:v>https://github.com/myglobalhealthonline/global-health-website/blob/main/CLAUDE.md</x:v>
      </x:c>
    </x:row>
    <x:row r="22" ht="30" customHeight="1">
      <x:c r="A22" s="18"/>
      <x:c r="B22" s="18"/>
      <x:c r="C22" s="18"/>
      <x:c r="D22" s="18"/>
    </x:row>
    <x:row r="23" ht="30" customHeight="1">
      <x:c r="A23" s="18"/>
      <x:c r="B23" s="18"/>
      <x:c r="C23" s="18"/>
      <x:c r="D23" s="18"/>
    </x:row>
    <x:row r="24" ht="30" customHeight="1">
      <x:c r="A24" s="18"/>
      <x:c r="B24" s="18"/>
      <x:c r="C24" s="18"/>
      <x:c r="D24" s="18"/>
    </x:row>
    <x:row r="25" ht="30" customHeight="1">
      <x:c r="A25" s="18"/>
      <x:c r="B25" s="18"/>
      <x:c r="C25" s="18"/>
      <x:c r="D25" s="18"/>
    </x:row>
    <x:row r="26" ht="30" customHeight="1">
      <x:c r="A26" s="18"/>
      <x:c r="B26" s="18"/>
      <x:c r="C26" s="18"/>
      <x:c r="D26" s="18"/>
    </x:row>
    <x:row r="27" ht="30" customHeight="1">
      <x:c r="A27" s="18"/>
      <x:c r="B27" s="18"/>
      <x:c r="C27" s="18"/>
      <x:c r="D27" s="18"/>
    </x:row>
    <x:row r="28" ht="30" customHeight="1">
      <x:c r="A28" s="18"/>
      <x:c r="B28" s="18"/>
      <x:c r="C28" s="18"/>
      <x:c r="D28" s="18"/>
    </x:row>
    <x:row r="29" ht="30" customHeight="1">
      <x:c r="A29" s="18"/>
      <x:c r="B29" s="18"/>
      <x:c r="C29" s="18"/>
      <x:c r="D29" s="18"/>
    </x:row>
    <x:row r="30" ht="30" customHeight="1">
      <x:c r="A30" s="18"/>
      <x:c r="B30" s="18"/>
      <x:c r="C30" s="18"/>
      <x:c r="D30" s="18"/>
    </x:row>
    <x:row r="31" ht="30" customHeight="1">
      <x:c r="A31" s="18"/>
      <x:c r="B31" s="18"/>
      <x:c r="C31" s="18"/>
      <x:c r="D31" s="18"/>
    </x:row>
    <x:row r="32" ht="30" customHeight="1">
      <x:c r="A32" s="18"/>
      <x:c r="B32" s="18"/>
      <x:c r="C32" s="18"/>
      <x:c r="D32" s="18"/>
    </x:row>
    <x:row r="33" ht="30" customHeight="1">
      <x:c r="A33" s="18"/>
      <x:c r="B33" s="18"/>
      <x:c r="C33" s="18"/>
      <x:c r="D33" s="18"/>
    </x:row>
    <x:row r="34" ht="30" customHeight="1">
      <x:c r="A34" s="18"/>
      <x:c r="B34" s="18"/>
      <x:c r="C34" s="18"/>
      <x:c r="D34" s="18"/>
    </x:row>
    <x:row r="35" ht="30" customHeight="1">
      <x:c r="A35" s="18"/>
      <x:c r="B35" s="18"/>
      <x:c r="C35" s="18"/>
      <x:c r="D35" s="18"/>
    </x:row>
    <x:row r="36" ht="30" customHeight="1">
      <x:c r="A36" s="18"/>
      <x:c r="B36" s="18"/>
      <x:c r="C36" s="18"/>
      <x:c r="D36" s="18"/>
    </x:row>
    <x:row r="37" ht="30" customHeight="1">
      <x:c r="A37" s="18"/>
      <x:c r="B37" s="18"/>
      <x:c r="C37" s="18"/>
      <x:c r="D37" s="18"/>
    </x:row>
    <x:row r="38" ht="30" customHeight="1">
      <x:c r="A38" s="18"/>
      <x:c r="B38" s="18"/>
      <x:c r="C38" s="18"/>
      <x:c r="D38" s="18"/>
    </x:row>
    <x:row r="39" ht="30" customHeight="1">
      <x:c r="A39" s="18"/>
      <x:c r="B39" s="18"/>
      <x:c r="C39" s="18"/>
      <x:c r="D39" s="18"/>
    </x:row>
    <x:row r="40" ht="30" customHeight="1">
      <x:c r="A40" s="18"/>
      <x:c r="B40" s="18"/>
      <x:c r="C40" s="18"/>
      <x:c r="D40" s="18"/>
    </x:row>
    <x:row r="41" ht="30" customHeight="1">
      <x:c r="A41" s="18"/>
      <x:c r="B41" s="18"/>
      <x:c r="C41" s="18"/>
      <x:c r="D41" s="18"/>
    </x:row>
    <x:row r="42" ht="30" customHeight="1">
      <x:c r="A42" s="18"/>
      <x:c r="B42" s="18"/>
      <x:c r="C42" s="18"/>
      <x:c r="D42" s="18"/>
    </x:row>
    <x:row r="43" ht="30" customHeight="1">
      <x:c r="A43" s="18"/>
      <x:c r="B43" s="18"/>
      <x:c r="C43" s="18"/>
      <x:c r="D43" s="18"/>
    </x:row>
    <x:row r="44" ht="30" customHeight="1">
      <x:c r="A44" s="18"/>
      <x:c r="B44" s="18"/>
      <x:c r="C44" s="18"/>
      <x:c r="D44" s="18"/>
    </x:row>
    <x:row r="45" ht="30" customHeight="1">
      <x:c r="A45" s="18"/>
      <x:c r="B45" s="18"/>
      <x:c r="C45" s="18"/>
      <x:c r="D45" s="18"/>
    </x:row>
    <x:row r="46" ht="30" customHeight="1">
      <x:c r="A46" s="18"/>
      <x:c r="B46" s="18"/>
      <x:c r="C46" s="18"/>
      <x:c r="D46" s="18"/>
    </x:row>
    <x:row r="47" ht="30" customHeight="1">
      <x:c r="A47" s="18"/>
      <x:c r="B47" s="18"/>
      <x:c r="C47" s="18"/>
      <x:c r="D47" s="18"/>
    </x:row>
    <x:row r="48" ht="30" customHeight="1">
      <x:c r="A48" s="18"/>
      <x:c r="B48" s="18"/>
      <x:c r="C48" s="18"/>
      <x:c r="D48" s="18"/>
    </x:row>
    <x:row r="49" ht="30" customHeight="1">
      <x:c r="A49" s="18"/>
      <x:c r="B49" s="18"/>
      <x:c r="C49" s="18"/>
      <x:c r="D49" s="18"/>
    </x:row>
    <x:row r="50" ht="30" customHeight="1">
      <x:c r="A50" s="18"/>
      <x:c r="B50" s="18"/>
      <x:c r="C50" s="18"/>
      <x:c r="D50" s="18"/>
    </x:row>
    <x:row r="51" ht="30" customHeight="1">
      <x:c r="A51" s="18"/>
      <x:c r="B51" s="18"/>
      <x:c r="C51" s="18"/>
      <x:c r="D51" s="18"/>
    </x:row>
    <x:row r="52" ht="30" customHeight="1">
      <x:c r="A52" s="18"/>
      <x:c r="B52" s="18"/>
      <x:c r="C52" s="18"/>
      <x:c r="D52" s="18"/>
    </x:row>
    <x:row r="53" ht="30" customHeight="1">
      <x:c r="A53" s="18"/>
      <x:c r="B53" s="18"/>
      <x:c r="C53" s="18"/>
      <x:c r="D53" s="18"/>
    </x:row>
    <x:row r="54" ht="30" customHeight="1">
      <x:c r="A54" s="18"/>
      <x:c r="B54" s="18"/>
      <x:c r="C54" s="18"/>
      <x:c r="D54" s="18"/>
    </x:row>
    <x:row r="55" ht="30" customHeight="1">
      <x:c r="A55" s="18"/>
      <x:c r="B55" s="18"/>
      <x:c r="C55" s="18"/>
      <x:c r="D55" s="18"/>
    </x:row>
    <x:row r="56" ht="30" customHeight="1">
      <x:c r="A56" s="18"/>
      <x:c r="B56" s="18"/>
      <x:c r="C56" s="18"/>
      <x:c r="D56" s="18"/>
    </x:row>
    <x:row r="57" ht="30" customHeight="1">
      <x:c r="A57" s="18"/>
      <x:c r="B57" s="18"/>
      <x:c r="C57" s="18"/>
      <x:c r="D57" s="18"/>
    </x:row>
    <x:row r="58" ht="30" customHeight="1">
      <x:c r="A58" s="18"/>
      <x:c r="B58" s="18"/>
      <x:c r="C58" s="18"/>
      <x:c r="D58" s="18"/>
    </x:row>
    <x:row r="59" ht="30" customHeight="1">
      <x:c r="A59" s="18"/>
      <x:c r="B59" s="18"/>
      <x:c r="C59" s="18"/>
      <x:c r="D59" s="18"/>
    </x:row>
    <x:row r="60" ht="30" customHeight="1">
      <x:c r="A60" s="18"/>
      <x:c r="B60" s="18"/>
      <x:c r="C60" s="18"/>
      <x:c r="D60" s="18"/>
    </x:row>
    <x:row r="61" ht="30" customHeight="1">
      <x:c r="A61" s="18"/>
      <x:c r="B61" s="18"/>
      <x:c r="C61" s="18"/>
      <x:c r="D61" s="18"/>
    </x:row>
    <x:row r="62" ht="30" customHeight="1">
      <x:c r="A62" s="18"/>
      <x:c r="B62" s="18"/>
      <x:c r="C62" s="18"/>
      <x:c r="D62" s="18"/>
    </x:row>
    <x:row r="63" ht="30" customHeight="1">
      <x:c r="A63" s="18"/>
      <x:c r="B63" s="18"/>
      <x:c r="C63" s="18"/>
      <x:c r="D63" s="18"/>
    </x:row>
    <x:row r="64" ht="30" customHeight="1">
      <x:c r="A64" s="18"/>
      <x:c r="B64" s="18"/>
      <x:c r="C64" s="18"/>
      <x:c r="D64" s="18"/>
    </x:row>
    <x:row r="65" ht="30" customHeight="1">
      <x:c r="A65" s="18"/>
      <x:c r="B65" s="18"/>
      <x:c r="C65" s="18"/>
      <x:c r="D65" s="18"/>
    </x:row>
    <x:row r="66" ht="30" customHeight="1">
      <x:c r="A66" s="18"/>
      <x:c r="B66" s="18"/>
      <x:c r="C66" s="18"/>
      <x:c r="D66" s="18"/>
    </x:row>
    <x:row r="67" ht="30" customHeight="1">
      <x:c r="A67" s="18"/>
      <x:c r="B67" s="18"/>
      <x:c r="C67" s="18"/>
      <x:c r="D67" s="18"/>
    </x:row>
    <x:row r="68" ht="30" customHeight="1">
      <x:c r="A68" s="18"/>
      <x:c r="B68" s="18"/>
      <x:c r="C68" s="18"/>
      <x:c r="D68" s="18"/>
    </x:row>
    <x:row r="69" ht="30" customHeight="1">
      <x:c r="A69" s="18"/>
      <x:c r="B69" s="18"/>
      <x:c r="C69" s="18"/>
      <x:c r="D69" s="18"/>
    </x:row>
    <x:row r="70" ht="30" customHeight="1">
      <x:c r="A70" s="18"/>
      <x:c r="B70" s="18"/>
      <x:c r="C70" s="18"/>
      <x:c r="D70" s="18"/>
    </x:row>
    <x:row r="71" ht="30" customHeight="1">
      <x:c r="A71" s="18"/>
      <x:c r="B71" s="18"/>
      <x:c r="C71" s="18"/>
      <x:c r="D71" s="18"/>
    </x:row>
    <x:row r="72" ht="30" customHeight="1">
      <x:c r="A72" s="18"/>
      <x:c r="B72" s="18"/>
      <x:c r="C72" s="18"/>
      <x:c r="D72" s="18"/>
    </x:row>
    <x:row r="73" ht="30" customHeight="1">
      <x:c r="A73" s="18"/>
      <x:c r="B73" s="18"/>
      <x:c r="C73" s="18"/>
      <x:c r="D73" s="18"/>
    </x:row>
    <x:row r="74" ht="30" customHeight="1">
      <x:c r="A74" s="18"/>
      <x:c r="B74" s="18"/>
      <x:c r="C74" s="18"/>
      <x:c r="D74" s="18"/>
    </x:row>
    <x:row r="75" ht="30" customHeight="1">
      <x:c r="A75" s="18"/>
      <x:c r="B75" s="18"/>
      <x:c r="C75" s="18"/>
      <x:c r="D75" s="18"/>
    </x:row>
    <x:row r="76" ht="30" customHeight="1">
      <x:c r="A76" s="18"/>
      <x:c r="B76" s="18"/>
      <x:c r="C76" s="18"/>
      <x:c r="D76" s="18"/>
    </x:row>
    <x:row r="77" ht="30" customHeight="1">
      <x:c r="A77" s="18"/>
      <x:c r="B77" s="18"/>
      <x:c r="C77" s="18"/>
      <x:c r="D77" s="18"/>
    </x:row>
    <x:row r="78" ht="30" customHeight="1">
      <x:c r="A78" s="18"/>
      <x:c r="B78" s="18"/>
      <x:c r="C78" s="18"/>
      <x:c r="D78" s="18"/>
    </x:row>
    <x:row r="79" ht="30" customHeight="1">
      <x:c r="A79" s="18"/>
      <x:c r="B79" s="18"/>
      <x:c r="C79" s="18"/>
      <x:c r="D79" s="18"/>
    </x:row>
    <x:row r="80" ht="30" customHeight="1">
      <x:c r="A80" s="18"/>
      <x:c r="B80" s="18"/>
      <x:c r="C80" s="18"/>
      <x:c r="D80" s="18"/>
    </x:row>
    <x:row r="81" ht="30" customHeight="1">
      <x:c r="A81" s="18"/>
      <x:c r="B81" s="18"/>
      <x:c r="C81" s="18"/>
      <x:c r="D81" s="18"/>
    </x:row>
    <x:row r="82" ht="30" customHeight="1">
      <x:c r="A82" s="18"/>
      <x:c r="B82" s="18"/>
      <x:c r="C82" s="18"/>
      <x:c r="D82" s="18"/>
    </x:row>
    <x:row r="83" ht="30" customHeight="1">
      <x:c r="A83" s="18"/>
      <x:c r="B83" s="18"/>
      <x:c r="C83" s="18"/>
      <x:c r="D83" s="18"/>
    </x:row>
    <x:row r="84" ht="30" customHeight="1">
      <x:c r="A84" s="18"/>
      <x:c r="B84" s="18"/>
      <x:c r="C84" s="18"/>
      <x:c r="D84" s="18"/>
    </x:row>
    <x:row r="85" ht="30" customHeight="1">
      <x:c r="A85" s="18"/>
      <x:c r="B85" s="18"/>
      <x:c r="C85" s="18"/>
      <x:c r="D85" s="18"/>
    </x:row>
    <x:row r="86" ht="30" customHeight="1">
      <x:c r="A86" s="18"/>
      <x:c r="B86" s="18"/>
      <x:c r="C86" s="18"/>
      <x:c r="D86" s="18"/>
    </x:row>
    <x:row r="87" ht="30" customHeight="1">
      <x:c r="A87" s="18"/>
      <x:c r="B87" s="18"/>
      <x:c r="C87" s="18"/>
      <x:c r="D87" s="18"/>
    </x:row>
    <x:row r="88" ht="30" customHeight="1">
      <x:c r="A88" s="18"/>
      <x:c r="B88" s="18"/>
      <x:c r="C88" s="18"/>
      <x:c r="D88" s="18"/>
    </x:row>
    <x:row r="89" ht="30" customHeight="1">
      <x:c r="A89" s="18"/>
      <x:c r="B89" s="18"/>
      <x:c r="C89" s="18"/>
      <x:c r="D89" s="18"/>
    </x:row>
    <x:row r="90" ht="30" customHeight="1">
      <x:c r="A90" s="18"/>
      <x:c r="B90" s="18"/>
      <x:c r="C90" s="18"/>
      <x:c r="D90" s="18"/>
    </x:row>
    <x:row r="91" ht="30" customHeight="1">
      <x:c r="A91" s="18"/>
      <x:c r="B91" s="18"/>
      <x:c r="C91" s="18"/>
      <x:c r="D91" s="18"/>
    </x:row>
    <x:row r="92" ht="30" customHeight="1">
      <x:c r="A92" s="18"/>
      <x:c r="B92" s="18"/>
      <x:c r="C92" s="18"/>
      <x:c r="D92" s="18"/>
    </x:row>
    <x:row r="93" ht="30" customHeight="1">
      <x:c r="A93" s="18"/>
      <x:c r="B93" s="18"/>
      <x:c r="C93" s="18"/>
      <x:c r="D93" s="18"/>
    </x:row>
    <x:row r="94" ht="30" customHeight="1">
      <x:c r="A94" s="18"/>
      <x:c r="B94" s="18"/>
      <x:c r="C94" s="18"/>
      <x:c r="D94" s="18"/>
    </x:row>
    <x:row r="95" ht="30" customHeight="1">
      <x:c r="A95" s="18"/>
      <x:c r="B95" s="18"/>
      <x:c r="C95" s="18"/>
      <x:c r="D95" s="18"/>
    </x:row>
    <x:row r="96" ht="30" customHeight="1">
      <x:c r="A96" s="18"/>
      <x:c r="B96" s="18"/>
      <x:c r="C96" s="18"/>
      <x:c r="D96" s="18"/>
    </x:row>
    <x:row r="97" ht="30" customHeight="1">
      <x:c r="A97" s="18"/>
      <x:c r="B97" s="18"/>
      <x:c r="C97" s="18"/>
      <x:c r="D97" s="18"/>
    </x:row>
    <x:row r="98" ht="30" customHeight="1">
      <x:c r="A98" s="18"/>
      <x:c r="B98" s="18"/>
      <x:c r="C98" s="18"/>
      <x:c r="D98" s="18"/>
    </x:row>
    <x:row r="99" ht="30" customHeight="1">
      <x:c r="A99" s="18"/>
      <x:c r="B99" s="18"/>
      <x:c r="C99" s="18"/>
      <x:c r="D99" s="18"/>
    </x:row>
    <x:row r="100" ht="30" customHeight="1">
      <x:c r="A100" s="18"/>
      <x:c r="B100" s="18"/>
      <x:c r="C100" s="18"/>
      <x:c r="D100" s="18"/>
    </x:row>
    <x:row r="101" ht="30" customHeight="1">
      <x:c r="A101" s="18"/>
      <x:c r="B101" s="18"/>
      <x:c r="C101" s="18"/>
      <x:c r="D101" s="18"/>
    </x:row>
    <x:row r="102" ht="30" customHeight="1">
      <x:c r="A102" s="18"/>
      <x:c r="B102" s="18"/>
      <x:c r="C102" s="18"/>
      <x:c r="D102" s="18"/>
    </x:row>
    <x:row r="103" ht="30" customHeight="1">
      <x:c r="A103" s="18"/>
      <x:c r="B103" s="18"/>
      <x:c r="C103" s="18"/>
      <x:c r="D103" s="18"/>
    </x:row>
    <x:row r="104" ht="30" customHeight="1">
      <x:c r="A104" s="18"/>
      <x:c r="B104" s="18"/>
      <x:c r="C104" s="18"/>
      <x:c r="D104" s="18"/>
    </x:row>
    <x:row r="105" ht="30" customHeight="1">
      <x:c r="A105" s="18"/>
      <x:c r="B105" s="18"/>
      <x:c r="C105" s="18"/>
      <x:c r="D105" s="18"/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97a3c1d4409a4533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3" t="str">
        <x:v>GSC PROPERTY DAILY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7" t="str">
        <x:v>Separate aggregate control totals: date × search type, all countries/devices. Never sum with page or query rows.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32" customHeight="1">
      <x:c r="A5" s="12" t="str">
        <x:v>date</x:v>
      </x:c>
      <x:c r="B5" s="12" t="str">
        <x:v>search_type</x:v>
      </x:c>
      <x:c r="C5" s="12" t="str">
        <x:v>clicks</x:v>
      </x:c>
      <x:c r="D5" s="12" t="str">
        <x:v>impressions</x:v>
      </x:c>
      <x:c r="E5" s="12" t="str">
        <x:v>avg_position</x:v>
      </x:c>
      <x:c r="F5" s="12" t="str">
        <x:v>ctr</x:v>
      </x:c>
      <x:c r="G5" s="12" t="str">
        <x:v>refresh_id</x:v>
      </x:c>
      <x:c r="H5" s="12" t="str">
        <x:v>data_state</x:v>
      </x:c>
      <x:c r="I5" s="12" t="str">
        <x:v>source_timezone</x:v>
      </x:c>
      <x:c r="J5" s="12" t="str">
        <x:v>data_quality</x:v>
      </x:c>
      <x:c r="K5" s="12" t="str">
        <x:v>source</x:v>
      </x:c>
    </x:row>
    <x:row r="6" ht="30" customHeight="1">
      <x:c r="A6" s="22"/>
      <x:c r="B6" s="18"/>
      <x:c r="C6" s="24"/>
      <x:c r="D6" s="24"/>
      <x:c r="E6" s="26"/>
      <x:c r="F6" s="28" t="str">
        <x:f>IF(OR(A6="",D6=""),"",IFERROR(C6/D6,""))</x:f>
      </x:c>
      <x:c r="G6" s="18"/>
      <x:c r="H6" s="18"/>
      <x:c r="I6" s="18"/>
      <x:c r="J6" s="18"/>
      <x:c r="K6" s="18"/>
    </x:row>
    <x:row r="7" ht="30" customHeight="1">
      <x:c r="A7" s="22"/>
      <x:c r="B7" s="18"/>
      <x:c r="C7" s="24"/>
      <x:c r="D7" s="24"/>
      <x:c r="E7" s="26"/>
      <x:c r="F7" s="28"/>
      <x:c r="G7" s="18"/>
      <x:c r="H7" s="18"/>
      <x:c r="I7" s="18"/>
      <x:c r="J7" s="18"/>
      <x:c r="K7" s="18"/>
    </x:row>
    <x:row r="8" ht="30" customHeight="1">
      <x:c r="A8" s="22"/>
      <x:c r="B8" s="18"/>
      <x:c r="C8" s="24"/>
      <x:c r="D8" s="24"/>
      <x:c r="E8" s="26"/>
      <x:c r="F8" s="28"/>
      <x:c r="G8" s="18"/>
      <x:c r="H8" s="18"/>
      <x:c r="I8" s="18"/>
      <x:c r="J8" s="18"/>
      <x:c r="K8" s="18"/>
    </x:row>
    <x:row r="9" ht="30" customHeight="1">
      <x:c r="A9" s="22"/>
      <x:c r="B9" s="18"/>
      <x:c r="C9" s="24"/>
      <x:c r="D9" s="24"/>
      <x:c r="E9" s="26"/>
      <x:c r="F9" s="28"/>
      <x:c r="G9" s="18"/>
      <x:c r="H9" s="18"/>
      <x:c r="I9" s="18"/>
      <x:c r="J9" s="18"/>
      <x:c r="K9" s="18"/>
    </x:row>
    <x:row r="10" ht="30" customHeight="1">
      <x:c r="A10" s="22"/>
      <x:c r="B10" s="18"/>
      <x:c r="C10" s="24"/>
      <x:c r="D10" s="24"/>
      <x:c r="E10" s="26"/>
      <x:c r="F10" s="28"/>
      <x:c r="G10" s="18"/>
      <x:c r="H10" s="18"/>
      <x:c r="I10" s="18"/>
      <x:c r="J10" s="18"/>
      <x:c r="K10" s="18"/>
    </x:row>
    <x:row r="11" ht="30" customHeight="1">
      <x:c r="A11" s="22"/>
      <x:c r="B11" s="18"/>
      <x:c r="C11" s="24"/>
      <x:c r="D11" s="24"/>
      <x:c r="E11" s="26"/>
      <x:c r="F11" s="28"/>
      <x:c r="G11" s="18"/>
      <x:c r="H11" s="18"/>
      <x:c r="I11" s="18"/>
      <x:c r="J11" s="18"/>
      <x:c r="K11" s="18"/>
    </x:row>
    <x:row r="12" ht="30" customHeight="1">
      <x:c r="A12" s="22"/>
      <x:c r="B12" s="18"/>
      <x:c r="C12" s="24"/>
      <x:c r="D12" s="24"/>
      <x:c r="E12" s="26"/>
      <x:c r="F12" s="28"/>
      <x:c r="G12" s="18"/>
      <x:c r="H12" s="18"/>
      <x:c r="I12" s="18"/>
      <x:c r="J12" s="18"/>
      <x:c r="K12" s="18"/>
    </x:row>
    <x:row r="13" ht="30" customHeight="1">
      <x:c r="A13" s="22"/>
      <x:c r="B13" s="18"/>
      <x:c r="C13" s="24"/>
      <x:c r="D13" s="24"/>
      <x:c r="E13" s="26"/>
      <x:c r="F13" s="28"/>
      <x:c r="G13" s="18"/>
      <x:c r="H13" s="18"/>
      <x:c r="I13" s="18"/>
      <x:c r="J13" s="18"/>
      <x:c r="K13" s="18"/>
    </x:row>
    <x:row r="14" ht="30" customHeight="1">
      <x:c r="A14" s="22"/>
      <x:c r="B14" s="18"/>
      <x:c r="C14" s="24"/>
      <x:c r="D14" s="24"/>
      <x:c r="E14" s="26"/>
      <x:c r="F14" s="28"/>
      <x:c r="G14" s="18"/>
      <x:c r="H14" s="18"/>
      <x:c r="I14" s="18"/>
      <x:c r="J14" s="18"/>
      <x:c r="K14" s="18"/>
    </x:row>
    <x:row r="15" ht="30" customHeight="1">
      <x:c r="A15" s="22"/>
      <x:c r="B15" s="18"/>
      <x:c r="C15" s="24"/>
      <x:c r="D15" s="24"/>
      <x:c r="E15" s="26"/>
      <x:c r="F15" s="28"/>
      <x:c r="G15" s="18"/>
      <x:c r="H15" s="18"/>
      <x:c r="I15" s="18"/>
      <x:c r="J15" s="18"/>
      <x:c r="K15" s="18"/>
    </x:row>
    <x:row r="16" ht="30" customHeight="1">
      <x:c r="A16" s="22"/>
      <x:c r="B16" s="18"/>
      <x:c r="C16" s="24"/>
      <x:c r="D16" s="24"/>
      <x:c r="E16" s="26"/>
      <x:c r="F16" s="28"/>
      <x:c r="G16" s="18"/>
      <x:c r="H16" s="18"/>
      <x:c r="I16" s="18"/>
      <x:c r="J16" s="18"/>
      <x:c r="K16" s="18"/>
    </x:row>
    <x:row r="17" ht="30" customHeight="1">
      <x:c r="A17" s="22"/>
      <x:c r="B17" s="18"/>
      <x:c r="C17" s="24"/>
      <x:c r="D17" s="24"/>
      <x:c r="E17" s="26"/>
      <x:c r="F17" s="28"/>
      <x:c r="G17" s="18"/>
      <x:c r="H17" s="18"/>
      <x:c r="I17" s="18"/>
      <x:c r="J17" s="18"/>
      <x:c r="K17" s="18"/>
    </x:row>
    <x:row r="18" ht="30" customHeight="1">
      <x:c r="A18" s="22"/>
      <x:c r="B18" s="18"/>
      <x:c r="C18" s="24"/>
      <x:c r="D18" s="24"/>
      <x:c r="E18" s="26"/>
      <x:c r="F18" s="28"/>
      <x:c r="G18" s="18"/>
      <x:c r="H18" s="18"/>
      <x:c r="I18" s="18"/>
      <x:c r="J18" s="18"/>
      <x:c r="K18" s="18"/>
    </x:row>
    <x:row r="19" ht="30" customHeight="1">
      <x:c r="A19" s="22"/>
      <x:c r="B19" s="18"/>
      <x:c r="C19" s="24"/>
      <x:c r="D19" s="24"/>
      <x:c r="E19" s="26"/>
      <x:c r="F19" s="28"/>
      <x:c r="G19" s="18"/>
      <x:c r="H19" s="18"/>
      <x:c r="I19" s="18"/>
      <x:c r="J19" s="18"/>
      <x:c r="K19" s="18"/>
    </x:row>
    <x:row r="20" ht="30" customHeight="1">
      <x:c r="A20" s="22"/>
      <x:c r="B20" s="18"/>
      <x:c r="C20" s="24"/>
      <x:c r="D20" s="24"/>
      <x:c r="E20" s="26"/>
      <x:c r="F20" s="28"/>
      <x:c r="G20" s="18"/>
      <x:c r="H20" s="18"/>
      <x:c r="I20" s="18"/>
      <x:c r="J20" s="18"/>
      <x:c r="K20" s="18"/>
    </x:row>
    <x:row r="21" ht="30" customHeight="1">
      <x:c r="A21" s="22"/>
      <x:c r="B21" s="18"/>
      <x:c r="C21" s="24"/>
      <x:c r="D21" s="24"/>
      <x:c r="E21" s="26"/>
      <x:c r="F21" s="28"/>
      <x:c r="G21" s="18"/>
      <x:c r="H21" s="18"/>
      <x:c r="I21" s="18"/>
      <x:c r="J21" s="18"/>
      <x:c r="K21" s="18"/>
    </x:row>
    <x:row r="22" ht="30" customHeight="1">
      <x:c r="A22" s="22"/>
      <x:c r="B22" s="18"/>
      <x:c r="C22" s="24"/>
      <x:c r="D22" s="24"/>
      <x:c r="E22" s="26"/>
      <x:c r="F22" s="28"/>
      <x:c r="G22" s="18"/>
      <x:c r="H22" s="18"/>
      <x:c r="I22" s="18"/>
      <x:c r="J22" s="18"/>
      <x:c r="K22" s="18"/>
    </x:row>
    <x:row r="23" ht="30" customHeight="1">
      <x:c r="A23" s="22"/>
      <x:c r="B23" s="18"/>
      <x:c r="C23" s="24"/>
      <x:c r="D23" s="24"/>
      <x:c r="E23" s="26"/>
      <x:c r="F23" s="28"/>
      <x:c r="G23" s="18"/>
      <x:c r="H23" s="18"/>
      <x:c r="I23" s="18"/>
      <x:c r="J23" s="18"/>
      <x:c r="K23" s="18"/>
    </x:row>
    <x:row r="24" ht="30" customHeight="1">
      <x:c r="A24" s="22"/>
      <x:c r="B24" s="18"/>
      <x:c r="C24" s="24"/>
      <x:c r="D24" s="24"/>
      <x:c r="E24" s="26"/>
      <x:c r="F24" s="28"/>
      <x:c r="G24" s="18"/>
      <x:c r="H24" s="18"/>
      <x:c r="I24" s="18"/>
      <x:c r="J24" s="18"/>
      <x:c r="K24" s="18"/>
    </x:row>
    <x:row r="25" ht="30" customHeight="1">
      <x:c r="A25" s="22"/>
      <x:c r="B25" s="18"/>
      <x:c r="C25" s="24"/>
      <x:c r="D25" s="24"/>
      <x:c r="E25" s="26"/>
      <x:c r="F25" s="28"/>
      <x:c r="G25" s="18"/>
      <x:c r="H25" s="18"/>
      <x:c r="I25" s="18"/>
      <x:c r="J25" s="18"/>
      <x:c r="K25" s="18"/>
    </x:row>
    <x:row r="26" ht="30" customHeight="1">
      <x:c r="A26" s="22"/>
      <x:c r="B26" s="18"/>
      <x:c r="C26" s="24"/>
      <x:c r="D26" s="24"/>
      <x:c r="E26" s="26"/>
      <x:c r="F26" s="28"/>
      <x:c r="G26" s="18"/>
      <x:c r="H26" s="18"/>
      <x:c r="I26" s="18"/>
      <x:c r="J26" s="18"/>
      <x:c r="K26" s="18"/>
    </x:row>
    <x:row r="27" ht="30" customHeight="1">
      <x:c r="A27" s="22"/>
      <x:c r="B27" s="18"/>
      <x:c r="C27" s="24"/>
      <x:c r="D27" s="24"/>
      <x:c r="E27" s="26"/>
      <x:c r="F27" s="28"/>
      <x:c r="G27" s="18"/>
      <x:c r="H27" s="18"/>
      <x:c r="I27" s="18"/>
      <x:c r="J27" s="18"/>
      <x:c r="K27" s="18"/>
    </x:row>
    <x:row r="28" ht="30" customHeight="1">
      <x:c r="A28" s="22"/>
      <x:c r="B28" s="18"/>
      <x:c r="C28" s="24"/>
      <x:c r="D28" s="24"/>
      <x:c r="E28" s="26"/>
      <x:c r="F28" s="28"/>
      <x:c r="G28" s="18"/>
      <x:c r="H28" s="18"/>
      <x:c r="I28" s="18"/>
      <x:c r="J28" s="18"/>
      <x:c r="K28" s="18"/>
    </x:row>
    <x:row r="29" ht="30" customHeight="1">
      <x:c r="A29" s="22"/>
      <x:c r="B29" s="18"/>
      <x:c r="C29" s="24"/>
      <x:c r="D29" s="24"/>
      <x:c r="E29" s="26"/>
      <x:c r="F29" s="28"/>
      <x:c r="G29" s="18"/>
      <x:c r="H29" s="18"/>
      <x:c r="I29" s="18"/>
      <x:c r="J29" s="18"/>
      <x:c r="K29" s="18"/>
    </x:row>
    <x:row r="30" ht="30" customHeight="1">
      <x:c r="A30" s="22"/>
      <x:c r="B30" s="18"/>
      <x:c r="C30" s="24"/>
      <x:c r="D30" s="24"/>
      <x:c r="E30" s="26"/>
      <x:c r="F30" s="28"/>
      <x:c r="G30" s="18"/>
      <x:c r="H30" s="18"/>
      <x:c r="I30" s="18"/>
      <x:c r="J30" s="18"/>
      <x:c r="K30" s="18"/>
    </x:row>
    <x:row r="31" ht="30" customHeight="1">
      <x:c r="A31" s="22"/>
      <x:c r="B31" s="18"/>
      <x:c r="C31" s="24"/>
      <x:c r="D31" s="24"/>
      <x:c r="E31" s="26"/>
      <x:c r="F31" s="28"/>
      <x:c r="G31" s="18"/>
      <x:c r="H31" s="18"/>
      <x:c r="I31" s="18"/>
      <x:c r="J31" s="18"/>
      <x:c r="K31" s="18"/>
    </x:row>
    <x:row r="32" ht="30" customHeight="1">
      <x:c r="A32" s="22"/>
      <x:c r="B32" s="18"/>
      <x:c r="C32" s="24"/>
      <x:c r="D32" s="24"/>
      <x:c r="E32" s="26"/>
      <x:c r="F32" s="28"/>
      <x:c r="G32" s="18"/>
      <x:c r="H32" s="18"/>
      <x:c r="I32" s="18"/>
      <x:c r="J32" s="18"/>
      <x:c r="K32" s="18"/>
    </x:row>
    <x:row r="33" ht="30" customHeight="1">
      <x:c r="A33" s="22"/>
      <x:c r="B33" s="18"/>
      <x:c r="C33" s="24"/>
      <x:c r="D33" s="24"/>
      <x:c r="E33" s="26"/>
      <x:c r="F33" s="28"/>
      <x:c r="G33" s="18"/>
      <x:c r="H33" s="18"/>
      <x:c r="I33" s="18"/>
      <x:c r="J33" s="18"/>
      <x:c r="K33" s="18"/>
    </x:row>
    <x:row r="34" ht="30" customHeight="1">
      <x:c r="A34" s="22"/>
      <x:c r="B34" s="18"/>
      <x:c r="C34" s="24"/>
      <x:c r="D34" s="24"/>
      <x:c r="E34" s="26"/>
      <x:c r="F34" s="28"/>
      <x:c r="G34" s="18"/>
      <x:c r="H34" s="18"/>
      <x:c r="I34" s="18"/>
      <x:c r="J34" s="18"/>
      <x:c r="K34" s="18"/>
    </x:row>
    <x:row r="35" ht="30" customHeight="1">
      <x:c r="A35" s="22"/>
      <x:c r="B35" s="18"/>
      <x:c r="C35" s="24"/>
      <x:c r="D35" s="24"/>
      <x:c r="E35" s="26"/>
      <x:c r="F35" s="28"/>
      <x:c r="G35" s="18"/>
      <x:c r="H35" s="18"/>
      <x:c r="I35" s="18"/>
      <x:c r="J35" s="18"/>
      <x:c r="K35" s="18"/>
    </x:row>
    <x:row r="36" ht="30" customHeight="1">
      <x:c r="A36" s="22"/>
      <x:c r="B36" s="18"/>
      <x:c r="C36" s="24"/>
      <x:c r="D36" s="24"/>
      <x:c r="E36" s="26"/>
      <x:c r="F36" s="28"/>
      <x:c r="G36" s="18"/>
      <x:c r="H36" s="18"/>
      <x:c r="I36" s="18"/>
      <x:c r="J36" s="18"/>
      <x:c r="K36" s="18"/>
    </x:row>
    <x:row r="37" ht="30" customHeight="1">
      <x:c r="A37" s="22"/>
      <x:c r="B37" s="18"/>
      <x:c r="C37" s="24"/>
      <x:c r="D37" s="24"/>
      <x:c r="E37" s="26"/>
      <x:c r="F37" s="28"/>
      <x:c r="G37" s="18"/>
      <x:c r="H37" s="18"/>
      <x:c r="I37" s="18"/>
      <x:c r="J37" s="18"/>
      <x:c r="K37" s="18"/>
    </x:row>
    <x:row r="38" ht="30" customHeight="1">
      <x:c r="A38" s="22"/>
      <x:c r="B38" s="18"/>
      <x:c r="C38" s="24"/>
      <x:c r="D38" s="24"/>
      <x:c r="E38" s="26"/>
      <x:c r="F38" s="28"/>
      <x:c r="G38" s="18"/>
      <x:c r="H38" s="18"/>
      <x:c r="I38" s="18"/>
      <x:c r="J38" s="18"/>
      <x:c r="K38" s="18"/>
    </x:row>
    <x:row r="39" ht="30" customHeight="1">
      <x:c r="A39" s="22"/>
      <x:c r="B39" s="18"/>
      <x:c r="C39" s="24"/>
      <x:c r="D39" s="24"/>
      <x:c r="E39" s="26"/>
      <x:c r="F39" s="28"/>
      <x:c r="G39" s="18"/>
      <x:c r="H39" s="18"/>
      <x:c r="I39" s="18"/>
      <x:c r="J39" s="18"/>
      <x:c r="K39" s="18"/>
    </x:row>
    <x:row r="40" ht="30" customHeight="1">
      <x:c r="A40" s="22"/>
      <x:c r="B40" s="18"/>
      <x:c r="C40" s="24"/>
      <x:c r="D40" s="24"/>
      <x:c r="E40" s="26"/>
      <x:c r="F40" s="28"/>
      <x:c r="G40" s="18"/>
      <x:c r="H40" s="18"/>
      <x:c r="I40" s="18"/>
      <x:c r="J40" s="18"/>
      <x:c r="K40" s="18"/>
    </x:row>
    <x:row r="41" ht="30" customHeight="1">
      <x:c r="A41" s="22"/>
      <x:c r="B41" s="18"/>
      <x:c r="C41" s="24"/>
      <x:c r="D41" s="24"/>
      <x:c r="E41" s="26"/>
      <x:c r="F41" s="28"/>
      <x:c r="G41" s="18"/>
      <x:c r="H41" s="18"/>
      <x:c r="I41" s="18"/>
      <x:c r="J41" s="18"/>
      <x:c r="K41" s="18"/>
    </x:row>
    <x:row r="42" ht="30" customHeight="1">
      <x:c r="A42" s="22"/>
      <x:c r="B42" s="18"/>
      <x:c r="C42" s="24"/>
      <x:c r="D42" s="24"/>
      <x:c r="E42" s="26"/>
      <x:c r="F42" s="28"/>
      <x:c r="G42" s="18"/>
      <x:c r="H42" s="18"/>
      <x:c r="I42" s="18"/>
      <x:c r="J42" s="18"/>
      <x:c r="K42" s="18"/>
    </x:row>
    <x:row r="43" ht="30" customHeight="1">
      <x:c r="A43" s="22"/>
      <x:c r="B43" s="18"/>
      <x:c r="C43" s="24"/>
      <x:c r="D43" s="24"/>
      <x:c r="E43" s="26"/>
      <x:c r="F43" s="28"/>
      <x:c r="G43" s="18"/>
      <x:c r="H43" s="18"/>
      <x:c r="I43" s="18"/>
      <x:c r="J43" s="18"/>
      <x:c r="K43" s="18"/>
    </x:row>
    <x:row r="44" ht="30" customHeight="1">
      <x:c r="A44" s="22"/>
      <x:c r="B44" s="18"/>
      <x:c r="C44" s="24"/>
      <x:c r="D44" s="24"/>
      <x:c r="E44" s="26"/>
      <x:c r="F44" s="28"/>
      <x:c r="G44" s="18"/>
      <x:c r="H44" s="18"/>
      <x:c r="I44" s="18"/>
      <x:c r="J44" s="18"/>
      <x:c r="K44" s="18"/>
    </x:row>
    <x:row r="45" ht="30" customHeight="1">
      <x:c r="A45" s="22"/>
      <x:c r="B45" s="18"/>
      <x:c r="C45" s="24"/>
      <x:c r="D45" s="24"/>
      <x:c r="E45" s="26"/>
      <x:c r="F45" s="28"/>
      <x:c r="G45" s="18"/>
      <x:c r="H45" s="18"/>
      <x:c r="I45" s="18"/>
      <x:c r="J45" s="18"/>
      <x:c r="K45" s="18"/>
    </x:row>
    <x:row r="46" ht="30" customHeight="1">
      <x:c r="A46" s="22"/>
      <x:c r="B46" s="18"/>
      <x:c r="C46" s="24"/>
      <x:c r="D46" s="24"/>
      <x:c r="E46" s="26"/>
      <x:c r="F46" s="28"/>
      <x:c r="G46" s="18"/>
      <x:c r="H46" s="18"/>
      <x:c r="I46" s="18"/>
      <x:c r="J46" s="18"/>
      <x:c r="K46" s="18"/>
    </x:row>
    <x:row r="47" ht="30" customHeight="1">
      <x:c r="A47" s="22"/>
      <x:c r="B47" s="18"/>
      <x:c r="C47" s="24"/>
      <x:c r="D47" s="24"/>
      <x:c r="E47" s="26"/>
      <x:c r="F47" s="28"/>
      <x:c r="G47" s="18"/>
      <x:c r="H47" s="18"/>
      <x:c r="I47" s="18"/>
      <x:c r="J47" s="18"/>
      <x:c r="K47" s="18"/>
    </x:row>
    <x:row r="48" ht="30" customHeight="1">
      <x:c r="A48" s="22"/>
      <x:c r="B48" s="18"/>
      <x:c r="C48" s="24"/>
      <x:c r="D48" s="24"/>
      <x:c r="E48" s="26"/>
      <x:c r="F48" s="28"/>
      <x:c r="G48" s="18"/>
      <x:c r="H48" s="18"/>
      <x:c r="I48" s="18"/>
      <x:c r="J48" s="18"/>
      <x:c r="K48" s="18"/>
    </x:row>
    <x:row r="49" ht="30" customHeight="1">
      <x:c r="A49" s="22"/>
      <x:c r="B49" s="18"/>
      <x:c r="C49" s="24"/>
      <x:c r="D49" s="24"/>
      <x:c r="E49" s="26"/>
      <x:c r="F49" s="28"/>
      <x:c r="G49" s="18"/>
      <x:c r="H49" s="18"/>
      <x:c r="I49" s="18"/>
      <x:c r="J49" s="18"/>
      <x:c r="K49" s="18"/>
    </x:row>
    <x:row r="50" ht="30" customHeight="1">
      <x:c r="A50" s="22"/>
      <x:c r="B50" s="18"/>
      <x:c r="C50" s="24"/>
      <x:c r="D50" s="24"/>
      <x:c r="E50" s="26"/>
      <x:c r="F50" s="28"/>
      <x:c r="G50" s="18"/>
      <x:c r="H50" s="18"/>
      <x:c r="I50" s="18"/>
      <x:c r="J50" s="18"/>
      <x:c r="K50" s="18"/>
    </x:row>
    <x:row r="51" ht="30" customHeight="1">
      <x:c r="A51" s="22"/>
      <x:c r="B51" s="18"/>
      <x:c r="C51" s="24"/>
      <x:c r="D51" s="24"/>
      <x:c r="E51" s="26"/>
      <x:c r="F51" s="28"/>
      <x:c r="G51" s="18"/>
      <x:c r="H51" s="18"/>
      <x:c r="I51" s="18"/>
      <x:c r="J51" s="18"/>
      <x:c r="K51" s="18"/>
    </x:row>
    <x:row r="52" ht="30" customHeight="1">
      <x:c r="A52" s="22"/>
      <x:c r="B52" s="18"/>
      <x:c r="C52" s="24"/>
      <x:c r="D52" s="24"/>
      <x:c r="E52" s="26"/>
      <x:c r="F52" s="28"/>
      <x:c r="G52" s="18"/>
      <x:c r="H52" s="18"/>
      <x:c r="I52" s="18"/>
      <x:c r="J52" s="18"/>
      <x:c r="K52" s="18"/>
    </x:row>
    <x:row r="53" ht="30" customHeight="1">
      <x:c r="A53" s="22"/>
      <x:c r="B53" s="18"/>
      <x:c r="C53" s="24"/>
      <x:c r="D53" s="24"/>
      <x:c r="E53" s="26"/>
      <x:c r="F53" s="28"/>
      <x:c r="G53" s="18"/>
      <x:c r="H53" s="18"/>
      <x:c r="I53" s="18"/>
      <x:c r="J53" s="18"/>
      <x:c r="K53" s="18"/>
    </x:row>
    <x:row r="54" ht="30" customHeight="1">
      <x:c r="A54" s="22"/>
      <x:c r="B54" s="18"/>
      <x:c r="C54" s="24"/>
      <x:c r="D54" s="24"/>
      <x:c r="E54" s="26"/>
      <x:c r="F54" s="28"/>
      <x:c r="G54" s="18"/>
      <x:c r="H54" s="18"/>
      <x:c r="I54" s="18"/>
      <x:c r="J54" s="18"/>
      <x:c r="K54" s="18"/>
    </x:row>
    <x:row r="55" ht="30" customHeight="1">
      <x:c r="A55" s="22"/>
      <x:c r="B55" s="18"/>
      <x:c r="C55" s="24"/>
      <x:c r="D55" s="24"/>
      <x:c r="E55" s="26"/>
      <x:c r="F55" s="28"/>
      <x:c r="G55" s="18"/>
      <x:c r="H55" s="18"/>
      <x:c r="I55" s="18"/>
      <x:c r="J55" s="18"/>
      <x:c r="K55" s="18"/>
    </x:row>
    <x:row r="56" ht="30" customHeight="1">
      <x:c r="A56" s="22"/>
      <x:c r="B56" s="18"/>
      <x:c r="C56" s="24"/>
      <x:c r="D56" s="24"/>
      <x:c r="E56" s="26"/>
      <x:c r="F56" s="28"/>
      <x:c r="G56" s="18"/>
      <x:c r="H56" s="18"/>
      <x:c r="I56" s="18"/>
      <x:c r="J56" s="18"/>
      <x:c r="K56" s="18"/>
    </x:row>
    <x:row r="57" ht="30" customHeight="1">
      <x:c r="A57" s="22"/>
      <x:c r="B57" s="18"/>
      <x:c r="C57" s="24"/>
      <x:c r="D57" s="24"/>
      <x:c r="E57" s="26"/>
      <x:c r="F57" s="28"/>
      <x:c r="G57" s="18"/>
      <x:c r="H57" s="18"/>
      <x:c r="I57" s="18"/>
      <x:c r="J57" s="18"/>
      <x:c r="K57" s="18"/>
    </x:row>
    <x:row r="58" ht="30" customHeight="1">
      <x:c r="A58" s="22"/>
      <x:c r="B58" s="18"/>
      <x:c r="C58" s="24"/>
      <x:c r="D58" s="24"/>
      <x:c r="E58" s="26"/>
      <x:c r="F58" s="28"/>
      <x:c r="G58" s="18"/>
      <x:c r="H58" s="18"/>
      <x:c r="I58" s="18"/>
      <x:c r="J58" s="18"/>
      <x:c r="K58" s="18"/>
    </x:row>
    <x:row r="59" ht="30" customHeight="1">
      <x:c r="A59" s="22"/>
      <x:c r="B59" s="18"/>
      <x:c r="C59" s="24"/>
      <x:c r="D59" s="24"/>
      <x:c r="E59" s="26"/>
      <x:c r="F59" s="28"/>
      <x:c r="G59" s="18"/>
      <x:c r="H59" s="18"/>
      <x:c r="I59" s="18"/>
      <x:c r="J59" s="18"/>
      <x:c r="K59" s="18"/>
    </x:row>
    <x:row r="60" ht="30" customHeight="1">
      <x:c r="A60" s="22"/>
      <x:c r="B60" s="18"/>
      <x:c r="C60" s="24"/>
      <x:c r="D60" s="24"/>
      <x:c r="E60" s="26"/>
      <x:c r="F60" s="28"/>
      <x:c r="G60" s="18"/>
      <x:c r="H60" s="18"/>
      <x:c r="I60" s="18"/>
      <x:c r="J60" s="18"/>
      <x:c r="K60" s="18"/>
    </x:row>
    <x:row r="61" ht="30" customHeight="1">
      <x:c r="A61" s="22"/>
      <x:c r="B61" s="18"/>
      <x:c r="C61" s="24"/>
      <x:c r="D61" s="24"/>
      <x:c r="E61" s="26"/>
      <x:c r="F61" s="28"/>
      <x:c r="G61" s="18"/>
      <x:c r="H61" s="18"/>
      <x:c r="I61" s="18"/>
      <x:c r="J61" s="18"/>
      <x:c r="K61" s="18"/>
    </x:row>
    <x:row r="62" ht="30" customHeight="1">
      <x:c r="A62" s="22"/>
      <x:c r="B62" s="18"/>
      <x:c r="C62" s="24"/>
      <x:c r="D62" s="24"/>
      <x:c r="E62" s="26"/>
      <x:c r="F62" s="28"/>
      <x:c r="G62" s="18"/>
      <x:c r="H62" s="18"/>
      <x:c r="I62" s="18"/>
      <x:c r="J62" s="18"/>
      <x:c r="K62" s="18"/>
    </x:row>
    <x:row r="63" ht="30" customHeight="1">
      <x:c r="A63" s="22"/>
      <x:c r="B63" s="18"/>
      <x:c r="C63" s="24"/>
      <x:c r="D63" s="24"/>
      <x:c r="E63" s="26"/>
      <x:c r="F63" s="28"/>
      <x:c r="G63" s="18"/>
      <x:c r="H63" s="18"/>
      <x:c r="I63" s="18"/>
      <x:c r="J63" s="18"/>
      <x:c r="K63" s="18"/>
    </x:row>
    <x:row r="64" ht="30" customHeight="1">
      <x:c r="A64" s="22"/>
      <x:c r="B64" s="18"/>
      <x:c r="C64" s="24"/>
      <x:c r="D64" s="24"/>
      <x:c r="E64" s="26"/>
      <x:c r="F64" s="28"/>
      <x:c r="G64" s="18"/>
      <x:c r="H64" s="18"/>
      <x:c r="I64" s="18"/>
      <x:c r="J64" s="18"/>
      <x:c r="K64" s="18"/>
    </x:row>
    <x:row r="65" ht="30" customHeight="1">
      <x:c r="A65" s="22"/>
      <x:c r="B65" s="18"/>
      <x:c r="C65" s="24"/>
      <x:c r="D65" s="24"/>
      <x:c r="E65" s="26"/>
      <x:c r="F65" s="28"/>
      <x:c r="G65" s="18"/>
      <x:c r="H65" s="18"/>
      <x:c r="I65" s="18"/>
      <x:c r="J65" s="18"/>
      <x:c r="K65" s="18"/>
    </x:row>
    <x:row r="66" ht="30" customHeight="1">
      <x:c r="A66" s="22"/>
      <x:c r="B66" s="18"/>
      <x:c r="C66" s="24"/>
      <x:c r="D66" s="24"/>
      <x:c r="E66" s="26"/>
      <x:c r="F66" s="28"/>
      <x:c r="G66" s="18"/>
      <x:c r="H66" s="18"/>
      <x:c r="I66" s="18"/>
      <x:c r="J66" s="18"/>
      <x:c r="K66" s="18"/>
    </x:row>
    <x:row r="67" ht="30" customHeight="1">
      <x:c r="A67" s="22"/>
      <x:c r="B67" s="18"/>
      <x:c r="C67" s="24"/>
      <x:c r="D67" s="24"/>
      <x:c r="E67" s="26"/>
      <x:c r="F67" s="28"/>
      <x:c r="G67" s="18"/>
      <x:c r="H67" s="18"/>
      <x:c r="I67" s="18"/>
      <x:c r="J67" s="18"/>
      <x:c r="K67" s="18"/>
    </x:row>
    <x:row r="68" ht="30" customHeight="1">
      <x:c r="A68" s="22"/>
      <x:c r="B68" s="18"/>
      <x:c r="C68" s="24"/>
      <x:c r="D68" s="24"/>
      <x:c r="E68" s="26"/>
      <x:c r="F68" s="28"/>
      <x:c r="G68" s="18"/>
      <x:c r="H68" s="18"/>
      <x:c r="I68" s="18"/>
      <x:c r="J68" s="18"/>
      <x:c r="K68" s="18"/>
    </x:row>
    <x:row r="69" ht="30" customHeight="1">
      <x:c r="A69" s="22"/>
      <x:c r="B69" s="18"/>
      <x:c r="C69" s="24"/>
      <x:c r="D69" s="24"/>
      <x:c r="E69" s="26"/>
      <x:c r="F69" s="28"/>
      <x:c r="G69" s="18"/>
      <x:c r="H69" s="18"/>
      <x:c r="I69" s="18"/>
      <x:c r="J69" s="18"/>
      <x:c r="K69" s="18"/>
    </x:row>
    <x:row r="70" ht="30" customHeight="1">
      <x:c r="A70" s="22"/>
      <x:c r="B70" s="18"/>
      <x:c r="C70" s="24"/>
      <x:c r="D70" s="24"/>
      <x:c r="E70" s="26"/>
      <x:c r="F70" s="28"/>
      <x:c r="G70" s="18"/>
      <x:c r="H70" s="18"/>
      <x:c r="I70" s="18"/>
      <x:c r="J70" s="18"/>
      <x:c r="K70" s="18"/>
    </x:row>
    <x:row r="71" ht="30" customHeight="1">
      <x:c r="A71" s="22"/>
      <x:c r="B71" s="18"/>
      <x:c r="C71" s="24"/>
      <x:c r="D71" s="24"/>
      <x:c r="E71" s="26"/>
      <x:c r="F71" s="28"/>
      <x:c r="G71" s="18"/>
      <x:c r="H71" s="18"/>
      <x:c r="I71" s="18"/>
      <x:c r="J71" s="18"/>
      <x:c r="K71" s="18"/>
    </x:row>
    <x:row r="72" ht="30" customHeight="1">
      <x:c r="A72" s="22"/>
      <x:c r="B72" s="18"/>
      <x:c r="C72" s="24"/>
      <x:c r="D72" s="24"/>
      <x:c r="E72" s="26"/>
      <x:c r="F72" s="28"/>
      <x:c r="G72" s="18"/>
      <x:c r="H72" s="18"/>
      <x:c r="I72" s="18"/>
      <x:c r="J72" s="18"/>
      <x:c r="K72" s="18"/>
    </x:row>
    <x:row r="73" ht="30" customHeight="1">
      <x:c r="A73" s="22"/>
      <x:c r="B73" s="18"/>
      <x:c r="C73" s="24"/>
      <x:c r="D73" s="24"/>
      <x:c r="E73" s="26"/>
      <x:c r="F73" s="28"/>
      <x:c r="G73" s="18"/>
      <x:c r="H73" s="18"/>
      <x:c r="I73" s="18"/>
      <x:c r="J73" s="18"/>
      <x:c r="K73" s="18"/>
    </x:row>
    <x:row r="74" ht="30" customHeight="1">
      <x:c r="A74" s="22"/>
      <x:c r="B74" s="18"/>
      <x:c r="C74" s="24"/>
      <x:c r="D74" s="24"/>
      <x:c r="E74" s="26"/>
      <x:c r="F74" s="28"/>
      <x:c r="G74" s="18"/>
      <x:c r="H74" s="18"/>
      <x:c r="I74" s="18"/>
      <x:c r="J74" s="18"/>
      <x:c r="K74" s="18"/>
    </x:row>
    <x:row r="75" ht="30" customHeight="1">
      <x:c r="A75" s="22"/>
      <x:c r="B75" s="18"/>
      <x:c r="C75" s="24"/>
      <x:c r="D75" s="24"/>
      <x:c r="E75" s="26"/>
      <x:c r="F75" s="28"/>
      <x:c r="G75" s="18"/>
      <x:c r="H75" s="18"/>
      <x:c r="I75" s="18"/>
      <x:c r="J75" s="18"/>
      <x:c r="K75" s="18"/>
    </x:row>
    <x:row r="76" ht="30" customHeight="1">
      <x:c r="A76" s="22"/>
      <x:c r="B76" s="18"/>
      <x:c r="C76" s="24"/>
      <x:c r="D76" s="24"/>
      <x:c r="E76" s="26"/>
      <x:c r="F76" s="28"/>
      <x:c r="G76" s="18"/>
      <x:c r="H76" s="18"/>
      <x:c r="I76" s="18"/>
      <x:c r="J76" s="18"/>
      <x:c r="K76" s="18"/>
    </x:row>
    <x:row r="77" ht="30" customHeight="1">
      <x:c r="A77" s="22"/>
      <x:c r="B77" s="18"/>
      <x:c r="C77" s="24"/>
      <x:c r="D77" s="24"/>
      <x:c r="E77" s="26"/>
      <x:c r="F77" s="28"/>
      <x:c r="G77" s="18"/>
      <x:c r="H77" s="18"/>
      <x:c r="I77" s="18"/>
      <x:c r="J77" s="18"/>
      <x:c r="K77" s="18"/>
    </x:row>
    <x:row r="78" ht="30" customHeight="1">
      <x:c r="A78" s="22"/>
      <x:c r="B78" s="18"/>
      <x:c r="C78" s="24"/>
      <x:c r="D78" s="24"/>
      <x:c r="E78" s="26"/>
      <x:c r="F78" s="28"/>
      <x:c r="G78" s="18"/>
      <x:c r="H78" s="18"/>
      <x:c r="I78" s="18"/>
      <x:c r="J78" s="18"/>
      <x:c r="K78" s="18"/>
    </x:row>
    <x:row r="79" ht="30" customHeight="1">
      <x:c r="A79" s="22"/>
      <x:c r="B79" s="18"/>
      <x:c r="C79" s="24"/>
      <x:c r="D79" s="24"/>
      <x:c r="E79" s="26"/>
      <x:c r="F79" s="28"/>
      <x:c r="G79" s="18"/>
      <x:c r="H79" s="18"/>
      <x:c r="I79" s="18"/>
      <x:c r="J79" s="18"/>
      <x:c r="K79" s="18"/>
    </x:row>
    <x:row r="80" ht="30" customHeight="1">
      <x:c r="A80" s="22"/>
      <x:c r="B80" s="18"/>
      <x:c r="C80" s="24"/>
      <x:c r="D80" s="24"/>
      <x:c r="E80" s="26"/>
      <x:c r="F80" s="28"/>
      <x:c r="G80" s="18"/>
      <x:c r="H80" s="18"/>
      <x:c r="I80" s="18"/>
      <x:c r="J80" s="18"/>
      <x:c r="K80" s="18"/>
    </x:row>
    <x:row r="81" ht="30" customHeight="1">
      <x:c r="A81" s="22"/>
      <x:c r="B81" s="18"/>
      <x:c r="C81" s="24"/>
      <x:c r="D81" s="24"/>
      <x:c r="E81" s="26"/>
      <x:c r="F81" s="28"/>
      <x:c r="G81" s="18"/>
      <x:c r="H81" s="18"/>
      <x:c r="I81" s="18"/>
      <x:c r="J81" s="18"/>
      <x:c r="K81" s="18"/>
    </x:row>
    <x:row r="82" ht="30" customHeight="1">
      <x:c r="A82" s="22"/>
      <x:c r="B82" s="18"/>
      <x:c r="C82" s="24"/>
      <x:c r="D82" s="24"/>
      <x:c r="E82" s="26"/>
      <x:c r="F82" s="28"/>
      <x:c r="G82" s="18"/>
      <x:c r="H82" s="18"/>
      <x:c r="I82" s="18"/>
      <x:c r="J82" s="18"/>
      <x:c r="K82" s="18"/>
    </x:row>
    <x:row r="83" ht="30" customHeight="1">
      <x:c r="A83" s="22"/>
      <x:c r="B83" s="18"/>
      <x:c r="C83" s="24"/>
      <x:c r="D83" s="24"/>
      <x:c r="E83" s="26"/>
      <x:c r="F83" s="28"/>
      <x:c r="G83" s="18"/>
      <x:c r="H83" s="18"/>
      <x:c r="I83" s="18"/>
      <x:c r="J83" s="18"/>
      <x:c r="K83" s="18"/>
    </x:row>
    <x:row r="84" ht="30" customHeight="1">
      <x:c r="A84" s="22"/>
      <x:c r="B84" s="18"/>
      <x:c r="C84" s="24"/>
      <x:c r="D84" s="24"/>
      <x:c r="E84" s="26"/>
      <x:c r="F84" s="28"/>
      <x:c r="G84" s="18"/>
      <x:c r="H84" s="18"/>
      <x:c r="I84" s="18"/>
      <x:c r="J84" s="18"/>
      <x:c r="K84" s="18"/>
    </x:row>
    <x:row r="85" ht="30" customHeight="1">
      <x:c r="A85" s="22"/>
      <x:c r="B85" s="18"/>
      <x:c r="C85" s="24"/>
      <x:c r="D85" s="24"/>
      <x:c r="E85" s="26"/>
      <x:c r="F85" s="28"/>
      <x:c r="G85" s="18"/>
      <x:c r="H85" s="18"/>
      <x:c r="I85" s="18"/>
      <x:c r="J85" s="18"/>
      <x:c r="K85" s="18"/>
    </x:row>
    <x:row r="86" ht="30" customHeight="1">
      <x:c r="A86" s="22"/>
      <x:c r="B86" s="18"/>
      <x:c r="C86" s="24"/>
      <x:c r="D86" s="24"/>
      <x:c r="E86" s="26"/>
      <x:c r="F86" s="28"/>
      <x:c r="G86" s="18"/>
      <x:c r="H86" s="18"/>
      <x:c r="I86" s="18"/>
      <x:c r="J86" s="18"/>
      <x:c r="K86" s="18"/>
    </x:row>
    <x:row r="87" ht="30" customHeight="1">
      <x:c r="A87" s="22"/>
      <x:c r="B87" s="18"/>
      <x:c r="C87" s="24"/>
      <x:c r="D87" s="24"/>
      <x:c r="E87" s="26"/>
      <x:c r="F87" s="28"/>
      <x:c r="G87" s="18"/>
      <x:c r="H87" s="18"/>
      <x:c r="I87" s="18"/>
      <x:c r="J87" s="18"/>
      <x:c r="K87" s="18"/>
    </x:row>
    <x:row r="88" ht="30" customHeight="1">
      <x:c r="A88" s="22"/>
      <x:c r="B88" s="18"/>
      <x:c r="C88" s="24"/>
      <x:c r="D88" s="24"/>
      <x:c r="E88" s="26"/>
      <x:c r="F88" s="28"/>
      <x:c r="G88" s="18"/>
      <x:c r="H88" s="18"/>
      <x:c r="I88" s="18"/>
      <x:c r="J88" s="18"/>
      <x:c r="K88" s="18"/>
    </x:row>
    <x:row r="89" ht="30" customHeight="1">
      <x:c r="A89" s="22"/>
      <x:c r="B89" s="18"/>
      <x:c r="C89" s="24"/>
      <x:c r="D89" s="24"/>
      <x:c r="E89" s="26"/>
      <x:c r="F89" s="28"/>
      <x:c r="G89" s="18"/>
      <x:c r="H89" s="18"/>
      <x:c r="I89" s="18"/>
      <x:c r="J89" s="18"/>
      <x:c r="K89" s="18"/>
    </x:row>
    <x:row r="90" ht="30" customHeight="1">
      <x:c r="A90" s="22"/>
      <x:c r="B90" s="18"/>
      <x:c r="C90" s="24"/>
      <x:c r="D90" s="24"/>
      <x:c r="E90" s="26"/>
      <x:c r="F90" s="28"/>
      <x:c r="G90" s="18"/>
      <x:c r="H90" s="18"/>
      <x:c r="I90" s="18"/>
      <x:c r="J90" s="18"/>
      <x:c r="K90" s="18"/>
    </x:row>
    <x:row r="91" ht="30" customHeight="1">
      <x:c r="A91" s="22"/>
      <x:c r="B91" s="18"/>
      <x:c r="C91" s="24"/>
      <x:c r="D91" s="24"/>
      <x:c r="E91" s="26"/>
      <x:c r="F91" s="28"/>
      <x:c r="G91" s="18"/>
      <x:c r="H91" s="18"/>
      <x:c r="I91" s="18"/>
      <x:c r="J91" s="18"/>
      <x:c r="K91" s="18"/>
    </x:row>
    <x:row r="92" ht="30" customHeight="1">
      <x:c r="A92" s="22"/>
      <x:c r="B92" s="18"/>
      <x:c r="C92" s="24"/>
      <x:c r="D92" s="24"/>
      <x:c r="E92" s="26"/>
      <x:c r="F92" s="28"/>
      <x:c r="G92" s="18"/>
      <x:c r="H92" s="18"/>
      <x:c r="I92" s="18"/>
      <x:c r="J92" s="18"/>
      <x:c r="K92" s="18"/>
    </x:row>
    <x:row r="93" ht="30" customHeight="1">
      <x:c r="A93" s="22"/>
      <x:c r="B93" s="18"/>
      <x:c r="C93" s="24"/>
      <x:c r="D93" s="24"/>
      <x:c r="E93" s="26"/>
      <x:c r="F93" s="28"/>
      <x:c r="G93" s="18"/>
      <x:c r="H93" s="18"/>
      <x:c r="I93" s="18"/>
      <x:c r="J93" s="18"/>
      <x:c r="K93" s="18"/>
    </x:row>
    <x:row r="94" ht="30" customHeight="1">
      <x:c r="A94" s="22"/>
      <x:c r="B94" s="18"/>
      <x:c r="C94" s="24"/>
      <x:c r="D94" s="24"/>
      <x:c r="E94" s="26"/>
      <x:c r="F94" s="28"/>
      <x:c r="G94" s="18"/>
      <x:c r="H94" s="18"/>
      <x:c r="I94" s="18"/>
      <x:c r="J94" s="18"/>
      <x:c r="K94" s="18"/>
    </x:row>
    <x:row r="95" ht="30" customHeight="1">
      <x:c r="A95" s="22"/>
      <x:c r="B95" s="18"/>
      <x:c r="C95" s="24"/>
      <x:c r="D95" s="24"/>
      <x:c r="E95" s="26"/>
      <x:c r="F95" s="28"/>
      <x:c r="G95" s="18"/>
      <x:c r="H95" s="18"/>
      <x:c r="I95" s="18"/>
      <x:c r="J95" s="18"/>
      <x:c r="K95" s="18"/>
    </x:row>
    <x:row r="96" ht="30" customHeight="1">
      <x:c r="A96" s="22"/>
      <x:c r="B96" s="18"/>
      <x:c r="C96" s="24"/>
      <x:c r="D96" s="24"/>
      <x:c r="E96" s="26"/>
      <x:c r="F96" s="28"/>
      <x:c r="G96" s="18"/>
      <x:c r="H96" s="18"/>
      <x:c r="I96" s="18"/>
      <x:c r="J96" s="18"/>
      <x:c r="K96" s="18"/>
    </x:row>
    <x:row r="97" ht="30" customHeight="1">
      <x:c r="A97" s="22"/>
      <x:c r="B97" s="18"/>
      <x:c r="C97" s="24"/>
      <x:c r="D97" s="24"/>
      <x:c r="E97" s="26"/>
      <x:c r="F97" s="28"/>
      <x:c r="G97" s="18"/>
      <x:c r="H97" s="18"/>
      <x:c r="I97" s="18"/>
      <x:c r="J97" s="18"/>
      <x:c r="K97" s="18"/>
    </x:row>
    <x:row r="98" ht="30" customHeight="1">
      <x:c r="A98" s="22"/>
      <x:c r="B98" s="18"/>
      <x:c r="C98" s="24"/>
      <x:c r="D98" s="24"/>
      <x:c r="E98" s="26"/>
      <x:c r="F98" s="28"/>
      <x:c r="G98" s="18"/>
      <x:c r="H98" s="18"/>
      <x:c r="I98" s="18"/>
      <x:c r="J98" s="18"/>
      <x:c r="K98" s="18"/>
    </x:row>
    <x:row r="99" ht="30" customHeight="1">
      <x:c r="A99" s="22"/>
      <x:c r="B99" s="18"/>
      <x:c r="C99" s="24"/>
      <x:c r="D99" s="24"/>
      <x:c r="E99" s="26"/>
      <x:c r="F99" s="28"/>
      <x:c r="G99" s="18"/>
      <x:c r="H99" s="18"/>
      <x:c r="I99" s="18"/>
      <x:c r="J99" s="18"/>
      <x:c r="K99" s="18"/>
    </x:row>
    <x:row r="100" ht="30" customHeight="1">
      <x:c r="A100" s="22"/>
      <x:c r="B100" s="18"/>
      <x:c r="C100" s="24"/>
      <x:c r="D100" s="24"/>
      <x:c r="E100" s="26"/>
      <x:c r="F100" s="28"/>
      <x:c r="G100" s="18"/>
      <x:c r="H100" s="18"/>
      <x:c r="I100" s="18"/>
      <x:c r="J100" s="18"/>
      <x:c r="K100" s="18"/>
    </x:row>
    <x:row r="101" ht="30" customHeight="1">
      <x:c r="A101" s="22"/>
      <x:c r="B101" s="18"/>
      <x:c r="C101" s="24"/>
      <x:c r="D101" s="24"/>
      <x:c r="E101" s="26"/>
      <x:c r="F101" s="28"/>
      <x:c r="G101" s="18"/>
      <x:c r="H101" s="18"/>
      <x:c r="I101" s="18"/>
      <x:c r="J101" s="18"/>
      <x:c r="K101" s="18"/>
    </x:row>
    <x:row r="102" ht="30" customHeight="1">
      <x:c r="A102" s="22"/>
      <x:c r="B102" s="18"/>
      <x:c r="C102" s="24"/>
      <x:c r="D102" s="24"/>
      <x:c r="E102" s="26"/>
      <x:c r="F102" s="28"/>
      <x:c r="G102" s="18"/>
      <x:c r="H102" s="18"/>
      <x:c r="I102" s="18"/>
      <x:c r="J102" s="18"/>
      <x:c r="K102" s="18"/>
    </x:row>
    <x:row r="103" ht="30" customHeight="1">
      <x:c r="A103" s="22"/>
      <x:c r="B103" s="18"/>
      <x:c r="C103" s="24"/>
      <x:c r="D103" s="24"/>
      <x:c r="E103" s="26"/>
      <x:c r="F103" s="28"/>
      <x:c r="G103" s="18"/>
      <x:c r="H103" s="18"/>
      <x:c r="I103" s="18"/>
      <x:c r="J103" s="18"/>
      <x:c r="K103" s="18"/>
    </x:row>
    <x:row r="104" ht="30" customHeight="1">
      <x:c r="A104" s="22"/>
      <x:c r="B104" s="18"/>
      <x:c r="C104" s="24"/>
      <x:c r="D104" s="24"/>
      <x:c r="E104" s="26"/>
      <x:c r="F104" s="28"/>
      <x:c r="G104" s="18"/>
      <x:c r="H104" s="18"/>
      <x:c r="I104" s="18"/>
      <x:c r="J104" s="18"/>
      <x:c r="K104" s="18"/>
    </x:row>
    <x:row r="105" ht="30" customHeight="1">
      <x:c r="A105" s="22"/>
      <x:c r="B105" s="18"/>
      <x:c r="C105" s="24"/>
      <x:c r="D105" s="24"/>
      <x:c r="E105" s="26"/>
      <x:c r="F105" s="28"/>
      <x:c r="G105" s="18"/>
      <x:c r="H105" s="18"/>
      <x:c r="I105" s="18"/>
      <x:c r="J105" s="18"/>
      <x:c r="K105" s="18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5d49ca22d74646c2"/>
  </x:tableParts>
</x:worksheet>
</file>